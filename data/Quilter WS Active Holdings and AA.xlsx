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Quilter/"/>
    </mc:Choice>
  </mc:AlternateContent>
  <xr:revisionPtr revIDLastSave="0" documentId="8_{AFC7E40F-20F2-4A59-8657-3076767B619A}" xr6:coauthVersionLast="47" xr6:coauthVersionMax="47" xr10:uidLastSave="{00000000-0000-0000-0000-000000000000}"/>
  <bookViews>
    <workbookView xWindow="-108" yWindow="-108" windowWidth="23256" windowHeight="12456" xr2:uid="{5B3BD5C0-3480-41A2-BFC4-5AEA04C606C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E2" i="1"/>
  <c r="D2" i="1"/>
</calcChain>
</file>

<file path=xl/sharedStrings.xml><?xml version="1.0" encoding="utf-8"?>
<sst xmlns="http://schemas.openxmlformats.org/spreadsheetml/2006/main" count="1013" uniqueCount="113">
  <si>
    <t>ISIN</t>
  </si>
  <si>
    <t>Weighting</t>
  </si>
  <si>
    <t>Managed Active Portfolio 9</t>
  </si>
  <si>
    <t>GB00BG371S47</t>
  </si>
  <si>
    <t>QI North American Equity</t>
  </si>
  <si>
    <t>GB00BZ191K76</t>
  </si>
  <si>
    <t>QI US Equity Income</t>
  </si>
  <si>
    <t>GB00B88BTC50</t>
  </si>
  <si>
    <t>QI Japanese Equity</t>
  </si>
  <si>
    <t>GB00B8L0QW80</t>
  </si>
  <si>
    <t>QI Europe (ex UK) Equity</t>
  </si>
  <si>
    <t>GB00B8SFP856</t>
  </si>
  <si>
    <t>QI Global Equity Value</t>
  </si>
  <si>
    <t>GB00B98WPN88</t>
  </si>
  <si>
    <t>QI Europe (ex UK) Equity Growth</t>
  </si>
  <si>
    <t>GB00BD4HJ668</t>
  </si>
  <si>
    <t>QI Europe (ex UK) Equity Income</t>
  </si>
  <si>
    <t>GB00B9947151</t>
  </si>
  <si>
    <t>QI UK Equity Large Cap Income</t>
  </si>
  <si>
    <t>GB00B7J9FJ04</t>
  </si>
  <si>
    <t>QI UK Equity Opportunities</t>
  </si>
  <si>
    <t>GB00BFWK8976</t>
  </si>
  <si>
    <t>QI UK Equity</t>
  </si>
  <si>
    <t>GB00B8KPPJ41</t>
  </si>
  <si>
    <t>QI Asia Pacific (ex Japan) Equity</t>
  </si>
  <si>
    <t>GB00B98WR877</t>
  </si>
  <si>
    <t xml:space="preserve">QI US Equity Small/Mid Cap </t>
  </si>
  <si>
    <t>GB00BN08ZH68</t>
  </si>
  <si>
    <t>iShares North American Equity Index</t>
  </si>
  <si>
    <t>GB00B98ZM814</t>
  </si>
  <si>
    <t>QI Asia Pacific (ex Japan) Large Cap Equity</t>
  </si>
  <si>
    <t>GB00B994K388</t>
  </si>
  <si>
    <t>QI US Equity Growth Fund</t>
  </si>
  <si>
    <t>GB00B98Y2S82</t>
  </si>
  <si>
    <t>QI Precious Metals Equity</t>
  </si>
  <si>
    <t>GB00BZ191L83</t>
  </si>
  <si>
    <t>QI Emerging Markets Equity Income</t>
  </si>
  <si>
    <t>IE00B4W0NH34</t>
  </si>
  <si>
    <t>Pimco Dynamic Bond</t>
  </si>
  <si>
    <t>GB00BD2PF085</t>
  </si>
  <si>
    <t>QI Absolute Return Bond</t>
  </si>
  <si>
    <t>GB00B98XS329</t>
  </si>
  <si>
    <t>QI Emerging Markets Equity Growth</t>
  </si>
  <si>
    <t>GB00BG371T53</t>
  </si>
  <si>
    <t>QI GEAR</t>
  </si>
  <si>
    <t>GB00B98Y6K86</t>
  </si>
  <si>
    <t>QI UK Equity Growth</t>
  </si>
  <si>
    <t>GB00BZ191N08</t>
  </si>
  <si>
    <t>QI Emerging Markets Equity</t>
  </si>
  <si>
    <t>GB00B7Y0MP39</t>
  </si>
  <si>
    <t>QI Natural Resources</t>
  </si>
  <si>
    <t>GB00BPLDZ184</t>
  </si>
  <si>
    <t>QI Timber</t>
  </si>
  <si>
    <t>GB00BQKPNF25</t>
  </si>
  <si>
    <t>QI Absolute Return Equity</t>
  </si>
  <si>
    <t>GB00BG371R30</t>
  </si>
  <si>
    <t>QI Asia Pacific</t>
  </si>
  <si>
    <t>IE00BKDV4072</t>
  </si>
  <si>
    <t>Trium ESG Emissions</t>
  </si>
  <si>
    <t>GB00B990Y346</t>
  </si>
  <si>
    <t>QI China Equity</t>
  </si>
  <si>
    <t>Managed Active Portfolio 8</t>
  </si>
  <si>
    <t>Managed Active Portfolio 7</t>
  </si>
  <si>
    <t>LU2255680576</t>
  </si>
  <si>
    <t>Aviva Global Sovereign Bond</t>
  </si>
  <si>
    <t>GB00BN08ZS73</t>
  </si>
  <si>
    <t>iShares UK Gilt All Stocks Index</t>
  </si>
  <si>
    <t>GB00BD9MP466</t>
  </si>
  <si>
    <t>QI Corporate Bond</t>
  </si>
  <si>
    <t>GB00BD9MP573</t>
  </si>
  <si>
    <t>QI Diversified Bond</t>
  </si>
  <si>
    <t>GB00B758PM41</t>
  </si>
  <si>
    <t>QI Sterling Diversified Bond</t>
  </si>
  <si>
    <t>GB00BNG58V62</t>
  </si>
  <si>
    <t>QI Dynamic Bond</t>
  </si>
  <si>
    <t>GB00BJ38GF06</t>
  </si>
  <si>
    <t>QI Sterling Corporate Bond</t>
  </si>
  <si>
    <t>GB00B98VPX53</t>
  </si>
  <si>
    <t>QI Investment Grade Corporate Bond</t>
  </si>
  <si>
    <t>IE00BK6S3N13</t>
  </si>
  <si>
    <t>Vanguard Euro Government Bond Index</t>
  </si>
  <si>
    <t>GB00BN091D72</t>
  </si>
  <si>
    <t>iShares Up To 10 Years Gilts Index</t>
  </si>
  <si>
    <t>Managed Active Portfolio 6</t>
  </si>
  <si>
    <t>IE000MOL6BV3</t>
  </si>
  <si>
    <t>BlackRock LEAF</t>
  </si>
  <si>
    <t>Managed Active Portfolio 5</t>
  </si>
  <si>
    <t>Managed Active Portfolio 4</t>
  </si>
  <si>
    <t>Managed Active Portfolio 3</t>
  </si>
  <si>
    <t>Managed Active Portfolio 10</t>
  </si>
  <si>
    <t>Fixed Income</t>
  </si>
  <si>
    <t>Alternative</t>
  </si>
  <si>
    <t>Equity</t>
  </si>
  <si>
    <t>Cash</t>
  </si>
  <si>
    <t>US</t>
  </si>
  <si>
    <t>UK</t>
  </si>
  <si>
    <t>Global</t>
  </si>
  <si>
    <t>Japan</t>
  </si>
  <si>
    <t>Europe ex UK</t>
  </si>
  <si>
    <t>Global Govt</t>
  </si>
  <si>
    <t>UK Govt</t>
  </si>
  <si>
    <t>Euro Govt</t>
  </si>
  <si>
    <t>Thematic</t>
  </si>
  <si>
    <t>UK Corporate</t>
  </si>
  <si>
    <t>Global Aggregate</t>
  </si>
  <si>
    <t>Emerging Markets</t>
  </si>
  <si>
    <t>Asia ex Japan</t>
  </si>
  <si>
    <t>Global Corporate</t>
  </si>
  <si>
    <t>Fund Name</t>
  </si>
  <si>
    <t>Asset Class</t>
  </si>
  <si>
    <t>Sub Asset Class</t>
  </si>
  <si>
    <t>Model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</si>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</sst>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2" applyFont="1" applyFill="1" applyBorder="1" applyAlignment="1">
      <alignment vertical="center"/>
    </xf>
    <xf numFmtId="10" fontId="2" fillId="2" borderId="1" xfId="3" applyNumberFormat="1" applyFont="1" applyFill="1" applyBorder="1" applyAlignment="1">
      <alignment vertical="center"/>
    </xf>
    <xf numFmtId="10" fontId="0" fillId="0" borderId="0" xfId="1" applyNumberFormat="1" applyFont="1"/>
    <xf numFmtId="0" fontId="0" fillId="0" borderId="0" xfId="0" applyAlignment="1">
      <alignment vertical="center"/>
    </xf>
    <xf numFmtId="10" fontId="0" fillId="0" borderId="0" xfId="1" applyNumberFormat="1" applyFont="1" applyAlignment="1">
      <alignment vertical="center"/>
    </xf>
  </cellXfs>
  <cellStyles count="4">
    <cellStyle name="Normal" xfId="0" builtinId="0"/>
    <cellStyle name="Normal 20" xfId="2" xr:uid="{C73240D7-77FF-461C-9348-1CE85978602A}"/>
    <cellStyle name="Per cent" xfId="1" builtinId="5"/>
    <cellStyle name="Per cent 2" xfId="3" xr:uid="{35EEB474-6F48-4700-8989-C5F2113A63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3D40-DA77-4876-8056-55E70C43D258}">
  <dimension ref="A1:F282"/>
  <sheetViews>
    <sheetView tabSelected="1" workbookViewId="0">
      <selection activeCell="G7" sqref="G7"/>
    </sheetView>
  </sheetViews>
  <sheetFormatPr defaultRowHeight="14.4" x14ac:dyDescent="0.3"/>
  <cols>
    <col min="1" max="1" width="25" bestFit="1" customWidth="1"/>
    <col min="2" max="2" width="17.5546875" customWidth="1"/>
    <col min="3" max="3" width="37.77734375" bestFit="1" customWidth="1"/>
    <col min="4" max="5" width="37.77734375" customWidth="1"/>
  </cols>
  <sheetData>
    <row r="1" spans="1:6" x14ac:dyDescent="0.3">
      <c r="A1" s="1" t="s">
        <v>111</v>
      </c>
      <c r="B1" s="1" t="s">
        <v>0</v>
      </c>
      <c r="C1" s="1" t="s">
        <v>112</v>
      </c>
      <c r="D1" s="1" t="s">
        <v>109</v>
      </c>
      <c r="E1" s="1" t="s">
        <v>110</v>
      </c>
      <c r="F1" s="2" t="s">
        <v>1</v>
      </c>
    </row>
    <row r="2" spans="1:6" x14ac:dyDescent="0.3">
      <c r="A2" t="s">
        <v>2</v>
      </c>
      <c r="B2" t="s">
        <v>3</v>
      </c>
      <c r="C2" t="s">
        <v>4</v>
      </c>
      <c r="D2" t="str">
        <f>VLOOKUP(B2,Sheet2!A:D,3,FALSE)</f>
        <v>Equity</v>
      </c>
      <c r="E2" t="str">
        <f>VLOOKUP(B2,Sheet2!A:D,4,FALSE)</f>
        <v>US</v>
      </c>
      <c r="F2" s="3">
        <v>9.6600000000000005E-2</v>
      </c>
    </row>
    <row r="3" spans="1:6" x14ac:dyDescent="0.3">
      <c r="A3" t="s">
        <v>2</v>
      </c>
      <c r="B3" t="s">
        <v>5</v>
      </c>
      <c r="C3" t="s">
        <v>6</v>
      </c>
      <c r="D3" t="str">
        <f>VLOOKUP(B3,Sheet2!A:D,3,FALSE)</f>
        <v>Equity</v>
      </c>
      <c r="E3" t="str">
        <f>VLOOKUP(B3,Sheet2!A:D,4,FALSE)</f>
        <v>US</v>
      </c>
      <c r="F3" s="3">
        <v>9.6600000000000005E-2</v>
      </c>
    </row>
    <row r="4" spans="1:6" x14ac:dyDescent="0.3">
      <c r="A4" t="s">
        <v>2</v>
      </c>
      <c r="B4" t="s">
        <v>7</v>
      </c>
      <c r="C4" t="s">
        <v>8</v>
      </c>
      <c r="D4" t="str">
        <f>VLOOKUP(B4,Sheet2!A:D,3,FALSE)</f>
        <v>Equity</v>
      </c>
      <c r="E4" t="str">
        <f>VLOOKUP(B4,Sheet2!A:D,4,FALSE)</f>
        <v>Japan</v>
      </c>
      <c r="F4" s="3">
        <v>6.2E-2</v>
      </c>
    </row>
    <row r="5" spans="1:6" x14ac:dyDescent="0.3">
      <c r="A5" s="4" t="s">
        <v>2</v>
      </c>
      <c r="B5" s="4" t="s">
        <v>9</v>
      </c>
      <c r="C5" s="4" t="s">
        <v>10</v>
      </c>
      <c r="D5" t="str">
        <f>VLOOKUP(B5,Sheet2!A:D,3,FALSE)</f>
        <v>Equity</v>
      </c>
      <c r="E5" t="str">
        <f>VLOOKUP(B5,Sheet2!A:D,4,FALSE)</f>
        <v>Europe ex UK</v>
      </c>
      <c r="F5" s="5">
        <v>6.08E-2</v>
      </c>
    </row>
    <row r="6" spans="1:6" x14ac:dyDescent="0.3">
      <c r="A6" t="s">
        <v>2</v>
      </c>
      <c r="B6" t="s">
        <v>11</v>
      </c>
      <c r="C6" t="s">
        <v>12</v>
      </c>
      <c r="D6" t="str">
        <f>VLOOKUP(B6,Sheet2!A:D,3,FALSE)</f>
        <v>Equity</v>
      </c>
      <c r="E6" t="str">
        <f>VLOOKUP(B6,Sheet2!A:D,4,FALSE)</f>
        <v>Global</v>
      </c>
      <c r="F6" s="3">
        <v>5.8599999999999999E-2</v>
      </c>
    </row>
    <row r="7" spans="1:6" x14ac:dyDescent="0.3">
      <c r="A7" t="s">
        <v>2</v>
      </c>
      <c r="B7" t="s">
        <v>13</v>
      </c>
      <c r="C7" t="s">
        <v>14</v>
      </c>
      <c r="D7" t="str">
        <f>VLOOKUP(B7,Sheet2!A:D,3,FALSE)</f>
        <v>Equity</v>
      </c>
      <c r="E7" t="str">
        <f>VLOOKUP(B7,Sheet2!A:D,4,FALSE)</f>
        <v>Europe ex UK</v>
      </c>
      <c r="F7" s="3">
        <v>4.5600000000000002E-2</v>
      </c>
    </row>
    <row r="8" spans="1:6" x14ac:dyDescent="0.3">
      <c r="A8" t="s">
        <v>2</v>
      </c>
      <c r="B8" t="s">
        <v>15</v>
      </c>
      <c r="C8" t="s">
        <v>16</v>
      </c>
      <c r="D8" t="str">
        <f>VLOOKUP(B8,Sheet2!A:D,3,FALSE)</f>
        <v>Equity</v>
      </c>
      <c r="E8" t="str">
        <f>VLOOKUP(B8,Sheet2!A:D,4,FALSE)</f>
        <v>Europe ex UK</v>
      </c>
      <c r="F8" s="3">
        <v>4.5600000000000002E-2</v>
      </c>
    </row>
    <row r="9" spans="1:6" x14ac:dyDescent="0.3">
      <c r="A9" t="s">
        <v>2</v>
      </c>
      <c r="B9" t="s">
        <v>17</v>
      </c>
      <c r="C9" t="s">
        <v>18</v>
      </c>
      <c r="D9" t="str">
        <f>VLOOKUP(B9,Sheet2!A:D,3,FALSE)</f>
        <v>Equity</v>
      </c>
      <c r="E9" t="str">
        <f>VLOOKUP(B9,Sheet2!A:D,4,FALSE)</f>
        <v>UK</v>
      </c>
      <c r="F9" s="3">
        <v>4.2099999999999999E-2</v>
      </c>
    </row>
    <row r="10" spans="1:6" x14ac:dyDescent="0.3">
      <c r="A10" t="s">
        <v>2</v>
      </c>
      <c r="B10" t="s">
        <v>19</v>
      </c>
      <c r="C10" t="s">
        <v>20</v>
      </c>
      <c r="D10" t="str">
        <f>VLOOKUP(B10,Sheet2!A:D,3,FALSE)</f>
        <v>Equity</v>
      </c>
      <c r="E10" t="str">
        <f>VLOOKUP(B10,Sheet2!A:D,4,FALSE)</f>
        <v>UK</v>
      </c>
      <c r="F10" s="3">
        <v>3.73E-2</v>
      </c>
    </row>
    <row r="11" spans="1:6" x14ac:dyDescent="0.3">
      <c r="A11" t="s">
        <v>2</v>
      </c>
      <c r="B11" t="s">
        <v>21</v>
      </c>
      <c r="C11" t="s">
        <v>22</v>
      </c>
      <c r="D11" t="str">
        <f>VLOOKUP(B11,Sheet2!A:D,3,FALSE)</f>
        <v>Equity</v>
      </c>
      <c r="E11" t="str">
        <f>VLOOKUP(B11,Sheet2!A:D,4,FALSE)</f>
        <v>UK</v>
      </c>
      <c r="F11" s="3">
        <v>3.5999999999999997E-2</v>
      </c>
    </row>
    <row r="12" spans="1:6" x14ac:dyDescent="0.3">
      <c r="A12" t="s">
        <v>2</v>
      </c>
      <c r="B12" t="s">
        <v>23</v>
      </c>
      <c r="C12" t="s">
        <v>24</v>
      </c>
      <c r="D12" t="str">
        <f>VLOOKUP(B12,Sheet2!A:D,3,FALSE)</f>
        <v>Equity</v>
      </c>
      <c r="E12" t="str">
        <f>VLOOKUP(B12,Sheet2!A:D,4,FALSE)</f>
        <v>Asia ex Japan</v>
      </c>
      <c r="F12" s="3">
        <v>3.5900000000000001E-2</v>
      </c>
    </row>
    <row r="13" spans="1:6" x14ac:dyDescent="0.3">
      <c r="A13" t="s">
        <v>2</v>
      </c>
      <c r="B13" t="s">
        <v>25</v>
      </c>
      <c r="C13" t="s">
        <v>26</v>
      </c>
      <c r="D13" t="str">
        <f>VLOOKUP(B13,Sheet2!A:D,3,FALSE)</f>
        <v>Equity</v>
      </c>
      <c r="E13" t="str">
        <f>VLOOKUP(B13,Sheet2!A:D,4,FALSE)</f>
        <v>US</v>
      </c>
      <c r="F13" s="3">
        <v>3.5400000000000001E-2</v>
      </c>
    </row>
    <row r="14" spans="1:6" x14ac:dyDescent="0.3">
      <c r="A14" t="s">
        <v>2</v>
      </c>
      <c r="B14" t="s">
        <v>27</v>
      </c>
      <c r="C14" t="s">
        <v>28</v>
      </c>
      <c r="D14" t="str">
        <f>VLOOKUP(B14,Sheet2!A:D,3,FALSE)</f>
        <v>Equity</v>
      </c>
      <c r="E14" t="str">
        <f>VLOOKUP(B14,Sheet2!A:D,4,FALSE)</f>
        <v>US</v>
      </c>
      <c r="F14" s="3">
        <v>3.39E-2</v>
      </c>
    </row>
    <row r="15" spans="1:6" x14ac:dyDescent="0.3">
      <c r="A15" t="s">
        <v>2</v>
      </c>
      <c r="B15" t="s">
        <v>29</v>
      </c>
      <c r="C15" t="s">
        <v>30</v>
      </c>
      <c r="D15" t="str">
        <f>VLOOKUP(B15,Sheet2!A:D,3,FALSE)</f>
        <v>Equity</v>
      </c>
      <c r="E15" t="str">
        <f>VLOOKUP(B15,Sheet2!A:D,4,FALSE)</f>
        <v>Asia ex Japan</v>
      </c>
      <c r="F15" s="3">
        <v>3.3599999999999998E-2</v>
      </c>
    </row>
    <row r="16" spans="1:6" x14ac:dyDescent="0.3">
      <c r="A16" t="s">
        <v>2</v>
      </c>
      <c r="B16" t="s">
        <v>31</v>
      </c>
      <c r="C16" t="s">
        <v>32</v>
      </c>
      <c r="D16" t="str">
        <f>VLOOKUP(B16,Sheet2!A:D,3,FALSE)</f>
        <v>Equity</v>
      </c>
      <c r="E16" t="str">
        <f>VLOOKUP(B16,Sheet2!A:D,4,FALSE)</f>
        <v>US</v>
      </c>
      <c r="F16" s="3">
        <v>3.2500000000000001E-2</v>
      </c>
    </row>
    <row r="17" spans="1:6" x14ac:dyDescent="0.3">
      <c r="A17" s="4" t="s">
        <v>2</v>
      </c>
      <c r="B17" s="4" t="s">
        <v>33</v>
      </c>
      <c r="C17" s="4" t="s">
        <v>34</v>
      </c>
      <c r="D17" t="str">
        <f>VLOOKUP(B17,Sheet2!A:D,3,FALSE)</f>
        <v>Equity</v>
      </c>
      <c r="E17" t="str">
        <f>VLOOKUP(B17,Sheet2!A:D,4,FALSE)</f>
        <v>Thematic</v>
      </c>
      <c r="F17" s="5">
        <v>2.76E-2</v>
      </c>
    </row>
    <row r="18" spans="1:6" x14ac:dyDescent="0.3">
      <c r="A18" t="s">
        <v>2</v>
      </c>
      <c r="B18" t="s">
        <v>35</v>
      </c>
      <c r="C18" t="s">
        <v>36</v>
      </c>
      <c r="D18" t="str">
        <f>VLOOKUP(B18,Sheet2!A:D,3,FALSE)</f>
        <v>Equity</v>
      </c>
      <c r="E18" t="str">
        <f>VLOOKUP(B18,Sheet2!A:D,4,FALSE)</f>
        <v>Emerging Markets</v>
      </c>
      <c r="F18" s="3">
        <v>2.7E-2</v>
      </c>
    </row>
    <row r="19" spans="1:6" x14ac:dyDescent="0.3">
      <c r="A19" t="s">
        <v>2</v>
      </c>
      <c r="B19" t="s">
        <v>37</v>
      </c>
      <c r="C19" t="s">
        <v>38</v>
      </c>
      <c r="D19" t="str">
        <f>VLOOKUP(B19,Sheet2!A:D,3,FALSE)</f>
        <v>Fixed Income</v>
      </c>
      <c r="E19" t="str">
        <f>VLOOKUP(B19,Sheet2!A:D,4,FALSE)</f>
        <v>Global Aggregate</v>
      </c>
      <c r="F19" s="3">
        <v>2.5899999999999999E-2</v>
      </c>
    </row>
    <row r="20" spans="1:6" x14ac:dyDescent="0.3">
      <c r="A20" t="s">
        <v>2</v>
      </c>
      <c r="B20" t="s">
        <v>39</v>
      </c>
      <c r="C20" t="s">
        <v>40</v>
      </c>
      <c r="D20" t="str">
        <f>VLOOKUP(B20,Sheet2!A:D,3,FALSE)</f>
        <v>Alternative</v>
      </c>
      <c r="E20" t="str">
        <f>VLOOKUP(B20,Sheet2!A:D,4,FALSE)</f>
        <v>Alternative</v>
      </c>
      <c r="F20" s="3">
        <v>2.4500000000000001E-2</v>
      </c>
    </row>
    <row r="21" spans="1:6" x14ac:dyDescent="0.3">
      <c r="A21" t="s">
        <v>2</v>
      </c>
      <c r="B21" t="s">
        <v>41</v>
      </c>
      <c r="C21" t="s">
        <v>42</v>
      </c>
      <c r="D21" t="str">
        <f>VLOOKUP(B21,Sheet2!A:D,3,FALSE)</f>
        <v>Equity</v>
      </c>
      <c r="E21" t="str">
        <f>VLOOKUP(B21,Sheet2!A:D,4,FALSE)</f>
        <v>Emerging Markets</v>
      </c>
      <c r="F21" s="3">
        <v>2.4E-2</v>
      </c>
    </row>
    <row r="22" spans="1:6" x14ac:dyDescent="0.3">
      <c r="A22" t="s">
        <v>2</v>
      </c>
      <c r="B22" t="s">
        <v>43</v>
      </c>
      <c r="C22" t="s">
        <v>44</v>
      </c>
      <c r="D22" t="str">
        <f>VLOOKUP(B22,Sheet2!A:D,3,FALSE)</f>
        <v>Alternative</v>
      </c>
      <c r="E22" t="str">
        <f>VLOOKUP(B22,Sheet2!A:D,4,FALSE)</f>
        <v>Alternative</v>
      </c>
      <c r="F22" s="3">
        <v>2.2700000000000001E-2</v>
      </c>
    </row>
    <row r="23" spans="1:6" x14ac:dyDescent="0.3">
      <c r="A23" t="s">
        <v>2</v>
      </c>
      <c r="B23" t="s">
        <v>45</v>
      </c>
      <c r="C23" t="s">
        <v>46</v>
      </c>
      <c r="D23" t="str">
        <f>VLOOKUP(B23,Sheet2!A:D,3,FALSE)</f>
        <v>Equity</v>
      </c>
      <c r="E23" t="str">
        <f>VLOOKUP(B23,Sheet2!A:D,4,FALSE)</f>
        <v>UK</v>
      </c>
      <c r="F23" s="3">
        <v>2.0400000000000001E-2</v>
      </c>
    </row>
    <row r="24" spans="1:6" x14ac:dyDescent="0.3">
      <c r="A24" t="s">
        <v>2</v>
      </c>
      <c r="B24" t="s">
        <v>47</v>
      </c>
      <c r="C24" t="s">
        <v>48</v>
      </c>
      <c r="D24" t="str">
        <f>VLOOKUP(B24,Sheet2!A:D,3,FALSE)</f>
        <v>Equity</v>
      </c>
      <c r="E24" t="str">
        <f>VLOOKUP(B24,Sheet2!A:D,4,FALSE)</f>
        <v>Emerging Markets</v>
      </c>
      <c r="F24" s="3">
        <v>1.6899999999999998E-2</v>
      </c>
    </row>
    <row r="25" spans="1:6" x14ac:dyDescent="0.3">
      <c r="A25" t="s">
        <v>2</v>
      </c>
      <c r="B25" t="s">
        <v>49</v>
      </c>
      <c r="C25" t="s">
        <v>50</v>
      </c>
      <c r="D25" t="str">
        <f>VLOOKUP(B25,Sheet2!A:D,3,FALSE)</f>
        <v>Equity</v>
      </c>
      <c r="E25" t="str">
        <f>VLOOKUP(B25,Sheet2!A:D,4,FALSE)</f>
        <v>Thematic</v>
      </c>
      <c r="F25" s="3">
        <v>1.47E-2</v>
      </c>
    </row>
    <row r="26" spans="1:6" x14ac:dyDescent="0.3">
      <c r="A26" t="s">
        <v>2</v>
      </c>
      <c r="B26" t="s">
        <v>51</v>
      </c>
      <c r="C26" t="s">
        <v>52</v>
      </c>
      <c r="D26" t="str">
        <f>VLOOKUP(B26,Sheet2!A:D,3,FALSE)</f>
        <v>Equity</v>
      </c>
      <c r="E26" t="str">
        <f>VLOOKUP(B26,Sheet2!A:D,4,FALSE)</f>
        <v>Thematic</v>
      </c>
      <c r="F26" s="3">
        <v>1.2999999999999999E-2</v>
      </c>
    </row>
    <row r="27" spans="1:6" x14ac:dyDescent="0.3">
      <c r="A27" t="s">
        <v>2</v>
      </c>
      <c r="B27" t="s">
        <v>53</v>
      </c>
      <c r="C27" t="s">
        <v>54</v>
      </c>
      <c r="D27" t="str">
        <f>VLOOKUP(B27,Sheet2!A:D,3,FALSE)</f>
        <v>Alternative</v>
      </c>
      <c r="E27" t="str">
        <f>VLOOKUP(B27,Sheet2!A:D,4,FALSE)</f>
        <v>Alternative</v>
      </c>
      <c r="F27" s="3">
        <v>8.8999999999999999E-3</v>
      </c>
    </row>
    <row r="28" spans="1:6" x14ac:dyDescent="0.3">
      <c r="A28" t="s">
        <v>2</v>
      </c>
      <c r="B28" t="s">
        <v>55</v>
      </c>
      <c r="C28" t="s">
        <v>56</v>
      </c>
      <c r="D28" t="str">
        <f>VLOOKUP(B28,Sheet2!A:D,3,FALSE)</f>
        <v>Equity</v>
      </c>
      <c r="E28" t="str">
        <f>VLOOKUP(B28,Sheet2!A:D,4,FALSE)</f>
        <v>Asia ex Japan</v>
      </c>
      <c r="F28" s="3">
        <v>7.7000000000000002E-3</v>
      </c>
    </row>
    <row r="29" spans="1:6" x14ac:dyDescent="0.3">
      <c r="A29" t="s">
        <v>2</v>
      </c>
      <c r="B29" t="s">
        <v>57</v>
      </c>
      <c r="C29" t="s">
        <v>58</v>
      </c>
      <c r="D29" t="str">
        <f>VLOOKUP(B29,Sheet2!A:D,3,FALSE)</f>
        <v>Alternative</v>
      </c>
      <c r="E29" t="str">
        <f>VLOOKUP(B29,Sheet2!A:D,4,FALSE)</f>
        <v>Alternative</v>
      </c>
      <c r="F29" s="3">
        <v>7.1000000000000004E-3</v>
      </c>
    </row>
    <row r="30" spans="1:6" x14ac:dyDescent="0.3">
      <c r="A30" t="s">
        <v>2</v>
      </c>
      <c r="B30" t="s">
        <v>59</v>
      </c>
      <c r="C30" t="s">
        <v>60</v>
      </c>
      <c r="D30" t="str">
        <f>VLOOKUP(B30,Sheet2!A:D,3,FALSE)</f>
        <v>Equity</v>
      </c>
      <c r="E30" t="str">
        <f>VLOOKUP(B30,Sheet2!A:D,4,FALSE)</f>
        <v>Emerging Markets</v>
      </c>
      <c r="F30" s="3">
        <v>7.1000000000000004E-3</v>
      </c>
    </row>
    <row r="31" spans="1:6" x14ac:dyDescent="0.3">
      <c r="A31" t="s">
        <v>61</v>
      </c>
      <c r="B31" t="s">
        <v>3</v>
      </c>
      <c r="C31" t="s">
        <v>4</v>
      </c>
      <c r="D31" t="str">
        <f>VLOOKUP(B31,Sheet2!A:D,3,FALSE)</f>
        <v>Equity</v>
      </c>
      <c r="E31" t="str">
        <f>VLOOKUP(B31,Sheet2!A:D,4,FALSE)</f>
        <v>US</v>
      </c>
      <c r="F31" s="3">
        <v>7.1300000000000002E-2</v>
      </c>
    </row>
    <row r="32" spans="1:6" x14ac:dyDescent="0.3">
      <c r="A32" t="s">
        <v>61</v>
      </c>
      <c r="B32" t="s">
        <v>5</v>
      </c>
      <c r="C32" t="s">
        <v>6</v>
      </c>
      <c r="D32" t="str">
        <f>VLOOKUP(B32,Sheet2!A:D,3,FALSE)</f>
        <v>Equity</v>
      </c>
      <c r="E32" t="str">
        <f>VLOOKUP(B32,Sheet2!A:D,4,FALSE)</f>
        <v>US</v>
      </c>
      <c r="F32" s="3">
        <v>7.1300000000000002E-2</v>
      </c>
    </row>
    <row r="33" spans="1:6" x14ac:dyDescent="0.3">
      <c r="A33" t="s">
        <v>61</v>
      </c>
      <c r="B33" t="s">
        <v>17</v>
      </c>
      <c r="C33" t="s">
        <v>18</v>
      </c>
      <c r="D33" t="str">
        <f>VLOOKUP(B33,Sheet2!A:D,3,FALSE)</f>
        <v>Equity</v>
      </c>
      <c r="E33" t="str">
        <f>VLOOKUP(B33,Sheet2!A:D,4,FALSE)</f>
        <v>UK</v>
      </c>
      <c r="F33" s="3">
        <v>6.08E-2</v>
      </c>
    </row>
    <row r="34" spans="1:6" x14ac:dyDescent="0.3">
      <c r="A34" t="s">
        <v>61</v>
      </c>
      <c r="B34" t="s">
        <v>37</v>
      </c>
      <c r="C34" t="s">
        <v>38</v>
      </c>
      <c r="D34" t="str">
        <f>VLOOKUP(B34,Sheet2!A:D,3,FALSE)</f>
        <v>Fixed Income</v>
      </c>
      <c r="E34" t="str">
        <f>VLOOKUP(B34,Sheet2!A:D,4,FALSE)</f>
        <v>Global Aggregate</v>
      </c>
      <c r="F34" s="3">
        <v>5.5899999999999998E-2</v>
      </c>
    </row>
    <row r="35" spans="1:6" x14ac:dyDescent="0.3">
      <c r="A35" t="s">
        <v>61</v>
      </c>
      <c r="B35" t="s">
        <v>7</v>
      </c>
      <c r="C35" t="s">
        <v>8</v>
      </c>
      <c r="D35" t="str">
        <f>VLOOKUP(B35,Sheet2!A:D,3,FALSE)</f>
        <v>Equity</v>
      </c>
      <c r="E35" t="str">
        <f>VLOOKUP(B35,Sheet2!A:D,4,FALSE)</f>
        <v>Japan</v>
      </c>
      <c r="F35" s="3">
        <v>5.5199999999999999E-2</v>
      </c>
    </row>
    <row r="36" spans="1:6" x14ac:dyDescent="0.3">
      <c r="A36" t="s">
        <v>61</v>
      </c>
      <c r="B36" t="s">
        <v>19</v>
      </c>
      <c r="C36" t="s">
        <v>20</v>
      </c>
      <c r="D36" t="str">
        <f>VLOOKUP(B36,Sheet2!A:D,3,FALSE)</f>
        <v>Equity</v>
      </c>
      <c r="E36" t="str">
        <f>VLOOKUP(B36,Sheet2!A:D,4,FALSE)</f>
        <v>UK</v>
      </c>
      <c r="F36" s="3">
        <v>5.3800000000000001E-2</v>
      </c>
    </row>
    <row r="37" spans="1:6" x14ac:dyDescent="0.3">
      <c r="A37" t="s">
        <v>61</v>
      </c>
      <c r="B37" t="s">
        <v>39</v>
      </c>
      <c r="C37" t="s">
        <v>40</v>
      </c>
      <c r="D37" t="str">
        <f>VLOOKUP(B37,Sheet2!A:D,3,FALSE)</f>
        <v>Alternative</v>
      </c>
      <c r="E37" t="str">
        <f>VLOOKUP(B37,Sheet2!A:D,4,FALSE)</f>
        <v>Alternative</v>
      </c>
      <c r="F37" s="3">
        <v>5.2999999999999999E-2</v>
      </c>
    </row>
    <row r="38" spans="1:6" x14ac:dyDescent="0.3">
      <c r="A38" t="s">
        <v>61</v>
      </c>
      <c r="B38" t="s">
        <v>21</v>
      </c>
      <c r="C38" t="s">
        <v>22</v>
      </c>
      <c r="D38" t="str">
        <f>VLOOKUP(B38,Sheet2!A:D,3,FALSE)</f>
        <v>Equity</v>
      </c>
      <c r="E38" t="str">
        <f>VLOOKUP(B38,Sheet2!A:D,4,FALSE)</f>
        <v>UK</v>
      </c>
      <c r="F38" s="3">
        <v>5.1799999999999999E-2</v>
      </c>
    </row>
    <row r="39" spans="1:6" x14ac:dyDescent="0.3">
      <c r="A39" t="s">
        <v>61</v>
      </c>
      <c r="B39" t="s">
        <v>9</v>
      </c>
      <c r="C39" t="s">
        <v>10</v>
      </c>
      <c r="D39" t="str">
        <f>VLOOKUP(B39,Sheet2!A:D,3,FALSE)</f>
        <v>Equity</v>
      </c>
      <c r="E39" t="str">
        <f>VLOOKUP(B39,Sheet2!A:D,4,FALSE)</f>
        <v>Europe ex UK</v>
      </c>
      <c r="F39" s="3">
        <v>5.0799999999999998E-2</v>
      </c>
    </row>
    <row r="40" spans="1:6" x14ac:dyDescent="0.3">
      <c r="A40" t="s">
        <v>61</v>
      </c>
      <c r="B40" t="s">
        <v>43</v>
      </c>
      <c r="C40" t="s">
        <v>44</v>
      </c>
      <c r="D40" t="str">
        <f>VLOOKUP(B40,Sheet2!A:D,3,FALSE)</f>
        <v>Alternative</v>
      </c>
      <c r="E40" t="str">
        <f>VLOOKUP(B40,Sheet2!A:D,4,FALSE)</f>
        <v>Alternative</v>
      </c>
      <c r="F40" s="3">
        <v>4.9200000000000001E-2</v>
      </c>
    </row>
    <row r="41" spans="1:6" x14ac:dyDescent="0.3">
      <c r="A41" t="s">
        <v>61</v>
      </c>
      <c r="B41" t="s">
        <v>11</v>
      </c>
      <c r="C41" t="s">
        <v>12</v>
      </c>
      <c r="D41" t="str">
        <f>VLOOKUP(B41,Sheet2!A:D,3,FALSE)</f>
        <v>Equity</v>
      </c>
      <c r="E41" t="str">
        <f>VLOOKUP(B41,Sheet2!A:D,4,FALSE)</f>
        <v>Global</v>
      </c>
      <c r="F41" s="3">
        <v>4.2900000000000001E-2</v>
      </c>
    </row>
    <row r="42" spans="1:6" x14ac:dyDescent="0.3">
      <c r="A42" t="s">
        <v>61</v>
      </c>
      <c r="B42" t="s">
        <v>13</v>
      </c>
      <c r="C42" t="s">
        <v>14</v>
      </c>
      <c r="D42" t="str">
        <f>VLOOKUP(B42,Sheet2!A:D,3,FALSE)</f>
        <v>Equity</v>
      </c>
      <c r="E42" t="str">
        <f>VLOOKUP(B42,Sheet2!A:D,4,FALSE)</f>
        <v>Europe ex UK</v>
      </c>
      <c r="F42" s="3">
        <v>3.8100000000000002E-2</v>
      </c>
    </row>
    <row r="43" spans="1:6" x14ac:dyDescent="0.3">
      <c r="A43" s="4" t="s">
        <v>61</v>
      </c>
      <c r="B43" s="4" t="s">
        <v>15</v>
      </c>
      <c r="C43" s="4" t="s">
        <v>16</v>
      </c>
      <c r="D43" t="str">
        <f>VLOOKUP(B43,Sheet2!A:D,3,FALSE)</f>
        <v>Equity</v>
      </c>
      <c r="E43" t="str">
        <f>VLOOKUP(B43,Sheet2!A:D,4,FALSE)</f>
        <v>Europe ex UK</v>
      </c>
      <c r="F43" s="5">
        <v>3.8100000000000002E-2</v>
      </c>
    </row>
    <row r="44" spans="1:6" x14ac:dyDescent="0.3">
      <c r="A44" s="4" t="s">
        <v>61</v>
      </c>
      <c r="B44" s="4" t="s">
        <v>33</v>
      </c>
      <c r="C44" s="4" t="s">
        <v>34</v>
      </c>
      <c r="D44" t="str">
        <f>VLOOKUP(B44,Sheet2!A:D,3,FALSE)</f>
        <v>Equity</v>
      </c>
      <c r="E44" t="str">
        <f>VLOOKUP(B44,Sheet2!A:D,4,FALSE)</f>
        <v>Thematic</v>
      </c>
      <c r="F44" s="5">
        <v>3.5499999999999997E-2</v>
      </c>
    </row>
    <row r="45" spans="1:6" x14ac:dyDescent="0.3">
      <c r="A45" t="s">
        <v>61</v>
      </c>
      <c r="B45" t="s">
        <v>45</v>
      </c>
      <c r="C45" t="s">
        <v>46</v>
      </c>
      <c r="D45" t="str">
        <f>VLOOKUP(B45,Sheet2!A:D,3,FALSE)</f>
        <v>Equity</v>
      </c>
      <c r="E45" t="str">
        <f>VLOOKUP(B45,Sheet2!A:D,4,FALSE)</f>
        <v>UK</v>
      </c>
      <c r="F45" s="3">
        <v>2.93E-2</v>
      </c>
    </row>
    <row r="46" spans="1:6" x14ac:dyDescent="0.3">
      <c r="A46" t="s">
        <v>61</v>
      </c>
      <c r="B46" t="s">
        <v>25</v>
      </c>
      <c r="C46" t="s">
        <v>26</v>
      </c>
      <c r="D46" t="str">
        <f>VLOOKUP(B46,Sheet2!A:D,3,FALSE)</f>
        <v>Equity</v>
      </c>
      <c r="E46" t="str">
        <f>VLOOKUP(B46,Sheet2!A:D,4,FALSE)</f>
        <v>US</v>
      </c>
      <c r="F46" s="3">
        <v>2.6100000000000002E-2</v>
      </c>
    </row>
    <row r="47" spans="1:6" x14ac:dyDescent="0.3">
      <c r="A47" t="s">
        <v>61</v>
      </c>
      <c r="B47" t="s">
        <v>27</v>
      </c>
      <c r="C47" t="s">
        <v>28</v>
      </c>
      <c r="D47" t="str">
        <f>VLOOKUP(B47,Sheet2!A:D,3,FALSE)</f>
        <v>Equity</v>
      </c>
      <c r="E47" t="str">
        <f>VLOOKUP(B47,Sheet2!A:D,4,FALSE)</f>
        <v>US</v>
      </c>
      <c r="F47" s="3">
        <v>2.5000000000000001E-2</v>
      </c>
    </row>
    <row r="48" spans="1:6" x14ac:dyDescent="0.3">
      <c r="A48" t="s">
        <v>61</v>
      </c>
      <c r="B48" t="s">
        <v>31</v>
      </c>
      <c r="C48" t="s">
        <v>32</v>
      </c>
      <c r="D48" t="str">
        <f>VLOOKUP(B48,Sheet2!A:D,3,FALSE)</f>
        <v>Equity</v>
      </c>
      <c r="E48" t="str">
        <f>VLOOKUP(B48,Sheet2!A:D,4,FALSE)</f>
        <v>US</v>
      </c>
      <c r="F48" s="3">
        <v>2.3900000000000001E-2</v>
      </c>
    </row>
    <row r="49" spans="1:6" x14ac:dyDescent="0.3">
      <c r="A49" t="s">
        <v>61</v>
      </c>
      <c r="B49" t="s">
        <v>35</v>
      </c>
      <c r="C49" t="s">
        <v>36</v>
      </c>
      <c r="D49" t="str">
        <f>VLOOKUP(B49,Sheet2!A:D,3,FALSE)</f>
        <v>Equity</v>
      </c>
      <c r="E49" t="str">
        <f>VLOOKUP(B49,Sheet2!A:D,4,FALSE)</f>
        <v>Emerging Markets</v>
      </c>
      <c r="F49" s="3">
        <v>2.3400000000000001E-2</v>
      </c>
    </row>
    <row r="50" spans="1:6" x14ac:dyDescent="0.3">
      <c r="A50" t="s">
        <v>61</v>
      </c>
      <c r="B50" t="s">
        <v>23</v>
      </c>
      <c r="C50" t="s">
        <v>24</v>
      </c>
      <c r="D50" t="str">
        <f>VLOOKUP(B50,Sheet2!A:D,3,FALSE)</f>
        <v>Equity</v>
      </c>
      <c r="E50" t="str">
        <f>VLOOKUP(B50,Sheet2!A:D,4,FALSE)</f>
        <v>Asia ex Japan</v>
      </c>
      <c r="F50" s="3">
        <v>2.1299999999999999E-2</v>
      </c>
    </row>
    <row r="51" spans="1:6" x14ac:dyDescent="0.3">
      <c r="A51" t="s">
        <v>61</v>
      </c>
      <c r="B51" t="s">
        <v>41</v>
      </c>
      <c r="C51" t="s">
        <v>42</v>
      </c>
      <c r="D51" t="str">
        <f>VLOOKUP(B51,Sheet2!A:D,3,FALSE)</f>
        <v>Equity</v>
      </c>
      <c r="E51" t="str">
        <f>VLOOKUP(B51,Sheet2!A:D,4,FALSE)</f>
        <v>Emerging Markets</v>
      </c>
      <c r="F51" s="3">
        <v>2.0799999999999999E-2</v>
      </c>
    </row>
    <row r="52" spans="1:6" x14ac:dyDescent="0.3">
      <c r="A52" t="s">
        <v>61</v>
      </c>
      <c r="B52" t="s">
        <v>29</v>
      </c>
      <c r="C52" t="s">
        <v>30</v>
      </c>
      <c r="D52" t="str">
        <f>VLOOKUP(B52,Sheet2!A:D,3,FALSE)</f>
        <v>Equity</v>
      </c>
      <c r="E52" t="str">
        <f>VLOOKUP(B52,Sheet2!A:D,4,FALSE)</f>
        <v>Asia ex Japan</v>
      </c>
      <c r="F52" s="3">
        <v>1.9900000000000001E-2</v>
      </c>
    </row>
    <row r="53" spans="1:6" x14ac:dyDescent="0.3">
      <c r="A53" t="s">
        <v>61</v>
      </c>
      <c r="B53" t="s">
        <v>53</v>
      </c>
      <c r="C53" t="s">
        <v>54</v>
      </c>
      <c r="D53" t="str">
        <f>VLOOKUP(B53,Sheet2!A:D,3,FALSE)</f>
        <v>Alternative</v>
      </c>
      <c r="E53" t="str">
        <f>VLOOKUP(B53,Sheet2!A:D,4,FALSE)</f>
        <v>Alternative</v>
      </c>
      <c r="F53" s="3">
        <v>1.9300000000000001E-2</v>
      </c>
    </row>
    <row r="54" spans="1:6" x14ac:dyDescent="0.3">
      <c r="A54" t="s">
        <v>61</v>
      </c>
      <c r="B54" t="s">
        <v>57</v>
      </c>
      <c r="C54" t="s">
        <v>58</v>
      </c>
      <c r="D54" t="str">
        <f>VLOOKUP(B54,Sheet2!A:D,3,FALSE)</f>
        <v>Alternative</v>
      </c>
      <c r="E54" t="str">
        <f>VLOOKUP(B54,Sheet2!A:D,4,FALSE)</f>
        <v>Alternative</v>
      </c>
      <c r="F54" s="3">
        <v>1.54E-2</v>
      </c>
    </row>
    <row r="55" spans="1:6" x14ac:dyDescent="0.3">
      <c r="A55" s="4" t="s">
        <v>61</v>
      </c>
      <c r="B55" s="4" t="s">
        <v>47</v>
      </c>
      <c r="C55" s="4" t="s">
        <v>48</v>
      </c>
      <c r="D55" t="str">
        <f>VLOOKUP(B55,Sheet2!A:D,3,FALSE)</f>
        <v>Equity</v>
      </c>
      <c r="E55" t="str">
        <f>VLOOKUP(B55,Sheet2!A:D,4,FALSE)</f>
        <v>Emerging Markets</v>
      </c>
      <c r="F55" s="5">
        <v>1.46E-2</v>
      </c>
    </row>
    <row r="56" spans="1:6" x14ac:dyDescent="0.3">
      <c r="A56" t="s">
        <v>61</v>
      </c>
      <c r="B56" t="s">
        <v>49</v>
      </c>
      <c r="C56" t="s">
        <v>50</v>
      </c>
      <c r="D56" t="str">
        <f>VLOOKUP(B56,Sheet2!A:D,3,FALSE)</f>
        <v>Equity</v>
      </c>
      <c r="E56" t="str">
        <f>VLOOKUP(B56,Sheet2!A:D,4,FALSE)</f>
        <v>Thematic</v>
      </c>
      <c r="F56" s="3">
        <v>1.1900000000000001E-2</v>
      </c>
    </row>
    <row r="57" spans="1:6" x14ac:dyDescent="0.3">
      <c r="A57" t="s">
        <v>61</v>
      </c>
      <c r="B57" t="s">
        <v>51</v>
      </c>
      <c r="C57" t="s">
        <v>52</v>
      </c>
      <c r="D57" t="str">
        <f>VLOOKUP(B57,Sheet2!A:D,3,FALSE)</f>
        <v>Equity</v>
      </c>
      <c r="E57" t="str">
        <f>VLOOKUP(B57,Sheet2!A:D,4,FALSE)</f>
        <v>Thematic</v>
      </c>
      <c r="F57" s="3">
        <v>1.06E-2</v>
      </c>
    </row>
    <row r="58" spans="1:6" x14ac:dyDescent="0.3">
      <c r="A58" t="s">
        <v>61</v>
      </c>
      <c r="B58" t="s">
        <v>59</v>
      </c>
      <c r="C58" t="s">
        <v>60</v>
      </c>
      <c r="D58" t="str">
        <f>VLOOKUP(B58,Sheet2!A:D,3,FALSE)</f>
        <v>Equity</v>
      </c>
      <c r="E58" t="str">
        <f>VLOOKUP(B58,Sheet2!A:D,4,FALSE)</f>
        <v>Emerging Markets</v>
      </c>
      <c r="F58" s="3">
        <v>6.1999999999999998E-3</v>
      </c>
    </row>
    <row r="59" spans="1:6" x14ac:dyDescent="0.3">
      <c r="A59" t="s">
        <v>61</v>
      </c>
      <c r="B59" t="s">
        <v>55</v>
      </c>
      <c r="C59" t="s">
        <v>56</v>
      </c>
      <c r="D59" t="str">
        <f>VLOOKUP(B59,Sheet2!A:D,3,FALSE)</f>
        <v>Equity</v>
      </c>
      <c r="E59" t="str">
        <f>VLOOKUP(B59,Sheet2!A:D,4,FALSE)</f>
        <v>Asia ex Japan</v>
      </c>
      <c r="F59" s="3">
        <v>4.5999999999999999E-3</v>
      </c>
    </row>
    <row r="60" spans="1:6" x14ac:dyDescent="0.3">
      <c r="A60" t="s">
        <v>62</v>
      </c>
      <c r="B60" t="s">
        <v>37</v>
      </c>
      <c r="C60" t="s">
        <v>38</v>
      </c>
      <c r="D60" t="str">
        <f>VLOOKUP(B60,Sheet2!A:D,3,FALSE)</f>
        <v>Fixed Income</v>
      </c>
      <c r="E60" t="str">
        <f>VLOOKUP(B60,Sheet2!A:D,4,FALSE)</f>
        <v>Global Aggregate</v>
      </c>
      <c r="F60" s="3">
        <v>6.9500000000000006E-2</v>
      </c>
    </row>
    <row r="61" spans="1:6" x14ac:dyDescent="0.3">
      <c r="A61" t="s">
        <v>62</v>
      </c>
      <c r="B61" t="s">
        <v>39</v>
      </c>
      <c r="C61" t="s">
        <v>40</v>
      </c>
      <c r="D61" t="str">
        <f>VLOOKUP(B61,Sheet2!A:D,3,FALSE)</f>
        <v>Alternative</v>
      </c>
      <c r="E61" t="str">
        <f>VLOOKUP(B61,Sheet2!A:D,4,FALSE)</f>
        <v>Alternative</v>
      </c>
      <c r="F61" s="3">
        <v>6.59E-2</v>
      </c>
    </row>
    <row r="62" spans="1:6" x14ac:dyDescent="0.3">
      <c r="A62" t="s">
        <v>62</v>
      </c>
      <c r="B62" t="s">
        <v>43</v>
      </c>
      <c r="C62" t="s">
        <v>44</v>
      </c>
      <c r="D62" t="str">
        <f>VLOOKUP(B62,Sheet2!A:D,3,FALSE)</f>
        <v>Alternative</v>
      </c>
      <c r="E62" t="str">
        <f>VLOOKUP(B62,Sheet2!A:D,4,FALSE)</f>
        <v>Alternative</v>
      </c>
      <c r="F62" s="3">
        <v>6.1199999999999997E-2</v>
      </c>
    </row>
    <row r="63" spans="1:6" x14ac:dyDescent="0.3">
      <c r="A63" t="s">
        <v>62</v>
      </c>
      <c r="B63" t="s">
        <v>3</v>
      </c>
      <c r="C63" t="s">
        <v>4</v>
      </c>
      <c r="D63" t="str">
        <f>VLOOKUP(B63,Sheet2!A:D,3,FALSE)</f>
        <v>Equity</v>
      </c>
      <c r="E63" t="str">
        <f>VLOOKUP(B63,Sheet2!A:D,4,FALSE)</f>
        <v>US</v>
      </c>
      <c r="F63" s="3">
        <v>6.0600000000000001E-2</v>
      </c>
    </row>
    <row r="64" spans="1:6" x14ac:dyDescent="0.3">
      <c r="A64" t="s">
        <v>62</v>
      </c>
      <c r="B64" t="s">
        <v>5</v>
      </c>
      <c r="C64" t="s">
        <v>6</v>
      </c>
      <c r="D64" t="str">
        <f>VLOOKUP(B64,Sheet2!A:D,3,FALSE)</f>
        <v>Equity</v>
      </c>
      <c r="E64" t="str">
        <f>VLOOKUP(B64,Sheet2!A:D,4,FALSE)</f>
        <v>US</v>
      </c>
      <c r="F64" s="3">
        <v>6.0600000000000001E-2</v>
      </c>
    </row>
    <row r="65" spans="1:6" x14ac:dyDescent="0.3">
      <c r="A65" t="s">
        <v>62</v>
      </c>
      <c r="B65" t="s">
        <v>17</v>
      </c>
      <c r="C65" t="s">
        <v>18</v>
      </c>
      <c r="D65" t="str">
        <f>VLOOKUP(B65,Sheet2!A:D,3,FALSE)</f>
        <v>Equity</v>
      </c>
      <c r="E65" t="str">
        <f>VLOOKUP(B65,Sheet2!A:D,4,FALSE)</f>
        <v>UK</v>
      </c>
      <c r="F65" s="3">
        <v>5.16E-2</v>
      </c>
    </row>
    <row r="66" spans="1:6" x14ac:dyDescent="0.3">
      <c r="A66" t="s">
        <v>62</v>
      </c>
      <c r="B66" t="s">
        <v>7</v>
      </c>
      <c r="C66" t="s">
        <v>8</v>
      </c>
      <c r="D66" t="str">
        <f>VLOOKUP(B66,Sheet2!A:D,3,FALSE)</f>
        <v>Equity</v>
      </c>
      <c r="E66" t="str">
        <f>VLOOKUP(B66,Sheet2!A:D,4,FALSE)</f>
        <v>Japan</v>
      </c>
      <c r="F66" s="3">
        <v>4.7E-2</v>
      </c>
    </row>
    <row r="67" spans="1:6" x14ac:dyDescent="0.3">
      <c r="A67" t="s">
        <v>62</v>
      </c>
      <c r="B67" t="s">
        <v>19</v>
      </c>
      <c r="C67" t="s">
        <v>20</v>
      </c>
      <c r="D67" t="str">
        <f>VLOOKUP(B67,Sheet2!A:D,3,FALSE)</f>
        <v>Equity</v>
      </c>
      <c r="E67" t="str">
        <f>VLOOKUP(B67,Sheet2!A:D,4,FALSE)</f>
        <v>UK</v>
      </c>
      <c r="F67" s="3">
        <v>4.58E-2</v>
      </c>
    </row>
    <row r="68" spans="1:6" x14ac:dyDescent="0.3">
      <c r="A68" t="s">
        <v>62</v>
      </c>
      <c r="B68" t="s">
        <v>21</v>
      </c>
      <c r="C68" t="s">
        <v>22</v>
      </c>
      <c r="D68" t="str">
        <f>VLOOKUP(B68,Sheet2!A:D,3,FALSE)</f>
        <v>Equity</v>
      </c>
      <c r="E68" t="str">
        <f>VLOOKUP(B68,Sheet2!A:D,4,FALSE)</f>
        <v>UK</v>
      </c>
      <c r="F68" s="3">
        <v>4.41E-2</v>
      </c>
    </row>
    <row r="69" spans="1:6" x14ac:dyDescent="0.3">
      <c r="A69" t="s">
        <v>62</v>
      </c>
      <c r="B69" t="s">
        <v>9</v>
      </c>
      <c r="C69" t="s">
        <v>10</v>
      </c>
      <c r="D69" t="str">
        <f>VLOOKUP(B69,Sheet2!A:D,3,FALSE)</f>
        <v>Equity</v>
      </c>
      <c r="E69" t="str">
        <f>VLOOKUP(B69,Sheet2!A:D,4,FALSE)</f>
        <v>Europe ex UK</v>
      </c>
      <c r="F69" s="3">
        <v>4.3299999999999998E-2</v>
      </c>
    </row>
    <row r="70" spans="1:6" x14ac:dyDescent="0.3">
      <c r="A70" t="s">
        <v>62</v>
      </c>
      <c r="B70" t="s">
        <v>11</v>
      </c>
      <c r="C70" t="s">
        <v>12</v>
      </c>
      <c r="D70" t="str">
        <f>VLOOKUP(B70,Sheet2!A:D,3,FALSE)</f>
        <v>Equity</v>
      </c>
      <c r="E70" t="str">
        <f>VLOOKUP(B70,Sheet2!A:D,4,FALSE)</f>
        <v>Global</v>
      </c>
      <c r="F70" s="3">
        <v>3.6499999999999998E-2</v>
      </c>
    </row>
    <row r="71" spans="1:6" x14ac:dyDescent="0.3">
      <c r="A71" t="s">
        <v>62</v>
      </c>
      <c r="B71" t="s">
        <v>13</v>
      </c>
      <c r="C71" t="s">
        <v>14</v>
      </c>
      <c r="D71" t="str">
        <f>VLOOKUP(B71,Sheet2!A:D,3,FALSE)</f>
        <v>Equity</v>
      </c>
      <c r="E71" t="str">
        <f>VLOOKUP(B71,Sheet2!A:D,4,FALSE)</f>
        <v>Europe ex UK</v>
      </c>
      <c r="F71" s="3">
        <v>3.2500000000000001E-2</v>
      </c>
    </row>
    <row r="72" spans="1:6" x14ac:dyDescent="0.3">
      <c r="A72" t="s">
        <v>62</v>
      </c>
      <c r="B72" t="s">
        <v>15</v>
      </c>
      <c r="C72" t="s">
        <v>16</v>
      </c>
      <c r="D72" t="str">
        <f>VLOOKUP(B72,Sheet2!A:D,3,FALSE)</f>
        <v>Equity</v>
      </c>
      <c r="E72" t="str">
        <f>VLOOKUP(B72,Sheet2!A:D,4,FALSE)</f>
        <v>Europe ex UK</v>
      </c>
      <c r="F72" s="3">
        <v>3.2500000000000001E-2</v>
      </c>
    </row>
    <row r="73" spans="1:6" x14ac:dyDescent="0.3">
      <c r="A73" t="s">
        <v>62</v>
      </c>
      <c r="B73" t="s">
        <v>33</v>
      </c>
      <c r="C73" t="s">
        <v>34</v>
      </c>
      <c r="D73" t="str">
        <f>VLOOKUP(B73,Sheet2!A:D,3,FALSE)</f>
        <v>Equity</v>
      </c>
      <c r="E73" t="str">
        <f>VLOOKUP(B73,Sheet2!A:D,4,FALSE)</f>
        <v>Thematic</v>
      </c>
      <c r="F73" s="3">
        <v>3.0200000000000001E-2</v>
      </c>
    </row>
    <row r="74" spans="1:6" x14ac:dyDescent="0.3">
      <c r="A74" t="s">
        <v>62</v>
      </c>
      <c r="B74" t="s">
        <v>45</v>
      </c>
      <c r="C74" t="s">
        <v>46</v>
      </c>
      <c r="D74" t="str">
        <f>VLOOKUP(B74,Sheet2!A:D,3,FALSE)</f>
        <v>Equity</v>
      </c>
      <c r="E74" t="str">
        <f>VLOOKUP(B74,Sheet2!A:D,4,FALSE)</f>
        <v>UK</v>
      </c>
      <c r="F74" s="3">
        <v>2.5000000000000001E-2</v>
      </c>
    </row>
    <row r="75" spans="1:6" x14ac:dyDescent="0.3">
      <c r="A75" t="s">
        <v>62</v>
      </c>
      <c r="B75" t="s">
        <v>53</v>
      </c>
      <c r="C75" t="s">
        <v>54</v>
      </c>
      <c r="D75" t="str">
        <f>VLOOKUP(B75,Sheet2!A:D,3,FALSE)</f>
        <v>Alternative</v>
      </c>
      <c r="E75" t="str">
        <f>VLOOKUP(B75,Sheet2!A:D,4,FALSE)</f>
        <v>Alternative</v>
      </c>
      <c r="F75" s="3">
        <v>2.4E-2</v>
      </c>
    </row>
    <row r="76" spans="1:6" x14ac:dyDescent="0.3">
      <c r="A76" t="s">
        <v>62</v>
      </c>
      <c r="B76" t="s">
        <v>25</v>
      </c>
      <c r="C76" t="s">
        <v>26</v>
      </c>
      <c r="D76" t="str">
        <f>VLOOKUP(B76,Sheet2!A:D,3,FALSE)</f>
        <v>Equity</v>
      </c>
      <c r="E76" t="str">
        <f>VLOOKUP(B76,Sheet2!A:D,4,FALSE)</f>
        <v>US</v>
      </c>
      <c r="F76" s="3">
        <v>2.2200000000000001E-2</v>
      </c>
    </row>
    <row r="77" spans="1:6" x14ac:dyDescent="0.3">
      <c r="A77" t="s">
        <v>62</v>
      </c>
      <c r="B77" t="s">
        <v>27</v>
      </c>
      <c r="C77" t="s">
        <v>28</v>
      </c>
      <c r="D77" t="str">
        <f>VLOOKUP(B77,Sheet2!A:D,3,FALSE)</f>
        <v>Equity</v>
      </c>
      <c r="E77" t="str">
        <f>VLOOKUP(B77,Sheet2!A:D,4,FALSE)</f>
        <v>US</v>
      </c>
      <c r="F77" s="3">
        <v>2.1299999999999999E-2</v>
      </c>
    </row>
    <row r="78" spans="1:6" x14ac:dyDescent="0.3">
      <c r="A78" t="s">
        <v>62</v>
      </c>
      <c r="B78" t="s">
        <v>31</v>
      </c>
      <c r="C78" t="s">
        <v>32</v>
      </c>
      <c r="D78" t="str">
        <f>VLOOKUP(B78,Sheet2!A:D,3,FALSE)</f>
        <v>Equity</v>
      </c>
      <c r="E78" t="str">
        <f>VLOOKUP(B78,Sheet2!A:D,4,FALSE)</f>
        <v>US</v>
      </c>
      <c r="F78" s="3">
        <v>2.0400000000000001E-2</v>
      </c>
    </row>
    <row r="79" spans="1:6" x14ac:dyDescent="0.3">
      <c r="A79" t="s">
        <v>62</v>
      </c>
      <c r="B79" t="s">
        <v>35</v>
      </c>
      <c r="C79" t="s">
        <v>36</v>
      </c>
      <c r="D79" t="str">
        <f>VLOOKUP(B79,Sheet2!A:D,3,FALSE)</f>
        <v>Equity</v>
      </c>
      <c r="E79" t="str">
        <f>VLOOKUP(B79,Sheet2!A:D,4,FALSE)</f>
        <v>Emerging Markets</v>
      </c>
      <c r="F79" s="3">
        <v>1.9900000000000001E-2</v>
      </c>
    </row>
    <row r="80" spans="1:6" x14ac:dyDescent="0.3">
      <c r="A80" t="s">
        <v>62</v>
      </c>
      <c r="B80" t="s">
        <v>57</v>
      </c>
      <c r="C80" t="s">
        <v>58</v>
      </c>
      <c r="D80" t="str">
        <f>VLOOKUP(B80,Sheet2!A:D,3,FALSE)</f>
        <v>Alternative</v>
      </c>
      <c r="E80" t="str">
        <f>VLOOKUP(B80,Sheet2!A:D,4,FALSE)</f>
        <v>Alternative</v>
      </c>
      <c r="F80" s="3">
        <v>1.9199999999999998E-2</v>
      </c>
    </row>
    <row r="81" spans="1:6" x14ac:dyDescent="0.3">
      <c r="A81" t="s">
        <v>62</v>
      </c>
      <c r="B81" t="s">
        <v>23</v>
      </c>
      <c r="C81" t="s">
        <v>24</v>
      </c>
      <c r="D81" t="str">
        <f>VLOOKUP(B81,Sheet2!A:D,3,FALSE)</f>
        <v>Equity</v>
      </c>
      <c r="E81" t="str">
        <f>VLOOKUP(B81,Sheet2!A:D,4,FALSE)</f>
        <v>Asia ex Japan</v>
      </c>
      <c r="F81" s="3">
        <v>1.8200000000000001E-2</v>
      </c>
    </row>
    <row r="82" spans="1:6" x14ac:dyDescent="0.3">
      <c r="A82" t="s">
        <v>62</v>
      </c>
      <c r="B82" t="s">
        <v>41</v>
      </c>
      <c r="C82" t="s">
        <v>42</v>
      </c>
      <c r="D82" t="str">
        <f>VLOOKUP(B82,Sheet2!A:D,3,FALSE)</f>
        <v>Equity</v>
      </c>
      <c r="E82" t="str">
        <f>VLOOKUP(B82,Sheet2!A:D,4,FALSE)</f>
        <v>Emerging Markets</v>
      </c>
      <c r="F82" s="3">
        <v>1.77E-2</v>
      </c>
    </row>
    <row r="83" spans="1:6" x14ac:dyDescent="0.3">
      <c r="A83" t="s">
        <v>62</v>
      </c>
      <c r="B83" t="s">
        <v>29</v>
      </c>
      <c r="C83" t="s">
        <v>30</v>
      </c>
      <c r="D83" t="str">
        <f>VLOOKUP(B83,Sheet2!A:D,3,FALSE)</f>
        <v>Equity</v>
      </c>
      <c r="E83" t="str">
        <f>VLOOKUP(B83,Sheet2!A:D,4,FALSE)</f>
        <v>Asia ex Japan</v>
      </c>
      <c r="F83" s="3">
        <v>1.7000000000000001E-2</v>
      </c>
    </row>
    <row r="84" spans="1:6" x14ac:dyDescent="0.3">
      <c r="A84" t="s">
        <v>62</v>
      </c>
      <c r="B84" t="s">
        <v>63</v>
      </c>
      <c r="C84" t="s">
        <v>64</v>
      </c>
      <c r="D84" t="str">
        <f>VLOOKUP(B84,Sheet2!A:D,3,FALSE)</f>
        <v>Fixed Income</v>
      </c>
      <c r="E84" t="str">
        <f>VLOOKUP(B84,Sheet2!A:D,4,FALSE)</f>
        <v>Global Govt</v>
      </c>
      <c r="F84" s="3">
        <v>1.4500000000000001E-2</v>
      </c>
    </row>
    <row r="85" spans="1:6" x14ac:dyDescent="0.3">
      <c r="A85" t="s">
        <v>62</v>
      </c>
      <c r="B85" t="s">
        <v>65</v>
      </c>
      <c r="C85" t="s">
        <v>66</v>
      </c>
      <c r="D85" t="str">
        <f>VLOOKUP(B85,Sheet2!A:D,3,FALSE)</f>
        <v>Fixed Income</v>
      </c>
      <c r="E85" t="str">
        <f>VLOOKUP(B85,Sheet2!A:D,4,FALSE)</f>
        <v>UK Govt</v>
      </c>
      <c r="F85" s="3">
        <v>1.29E-2</v>
      </c>
    </row>
    <row r="86" spans="1:6" x14ac:dyDescent="0.3">
      <c r="A86" s="4" t="s">
        <v>62</v>
      </c>
      <c r="B86" s="4" t="s">
        <v>47</v>
      </c>
      <c r="C86" s="4" t="s">
        <v>48</v>
      </c>
      <c r="D86" t="str">
        <f>VLOOKUP(B86,Sheet2!A:D,3,FALSE)</f>
        <v>Equity</v>
      </c>
      <c r="E86" t="str">
        <f>VLOOKUP(B86,Sheet2!A:D,4,FALSE)</f>
        <v>Emerging Markets</v>
      </c>
      <c r="F86" s="5">
        <v>1.24E-2</v>
      </c>
    </row>
    <row r="87" spans="1:6" x14ac:dyDescent="0.3">
      <c r="A87" t="s">
        <v>62</v>
      </c>
      <c r="B87" t="s">
        <v>49</v>
      </c>
      <c r="C87" t="s">
        <v>50</v>
      </c>
      <c r="D87" t="str">
        <f>VLOOKUP(B87,Sheet2!A:D,3,FALSE)</f>
        <v>Equity</v>
      </c>
      <c r="E87" t="str">
        <f>VLOOKUP(B87,Sheet2!A:D,4,FALSE)</f>
        <v>Thematic</v>
      </c>
      <c r="F87" s="3">
        <v>1.01E-2</v>
      </c>
    </row>
    <row r="88" spans="1:6" x14ac:dyDescent="0.3">
      <c r="A88" t="s">
        <v>62</v>
      </c>
      <c r="B88" t="s">
        <v>67</v>
      </c>
      <c r="C88" t="s">
        <v>68</v>
      </c>
      <c r="D88" t="str">
        <f>VLOOKUP(B88,Sheet2!A:D,3,FALSE)</f>
        <v>Fixed Income</v>
      </c>
      <c r="E88" t="str">
        <f>VLOOKUP(B88,Sheet2!A:D,4,FALSE)</f>
        <v>Global Corporate</v>
      </c>
      <c r="F88" s="3">
        <v>9.2999999999999992E-3</v>
      </c>
    </row>
    <row r="89" spans="1:6" x14ac:dyDescent="0.3">
      <c r="A89" t="s">
        <v>62</v>
      </c>
      <c r="B89" t="s">
        <v>51</v>
      </c>
      <c r="C89" t="s">
        <v>52</v>
      </c>
      <c r="D89" t="str">
        <f>VLOOKUP(B89,Sheet2!A:D,3,FALSE)</f>
        <v>Equity</v>
      </c>
      <c r="E89" t="str">
        <f>VLOOKUP(B89,Sheet2!A:D,4,FALSE)</f>
        <v>Thematic</v>
      </c>
      <c r="F89" s="3">
        <v>9.1000000000000004E-3</v>
      </c>
    </row>
    <row r="90" spans="1:6" x14ac:dyDescent="0.3">
      <c r="A90" t="s">
        <v>62</v>
      </c>
      <c r="B90" t="s">
        <v>69</v>
      </c>
      <c r="C90" t="s">
        <v>70</v>
      </c>
      <c r="D90" t="str">
        <f>VLOOKUP(B90,Sheet2!A:D,3,FALSE)</f>
        <v>Fixed Income</v>
      </c>
      <c r="E90" t="str">
        <f>VLOOKUP(B90,Sheet2!A:D,4,FALSE)</f>
        <v>Global Aggregate</v>
      </c>
      <c r="F90" s="3">
        <v>8.0999999999999996E-3</v>
      </c>
    </row>
    <row r="91" spans="1:6" x14ac:dyDescent="0.3">
      <c r="A91" t="s">
        <v>62</v>
      </c>
      <c r="B91" t="s">
        <v>71</v>
      </c>
      <c r="C91" t="s">
        <v>72</v>
      </c>
      <c r="D91" t="str">
        <f>VLOOKUP(B91,Sheet2!A:D,3,FALSE)</f>
        <v>Fixed Income</v>
      </c>
      <c r="E91" t="str">
        <f>VLOOKUP(B91,Sheet2!A:D,4,FALSE)</f>
        <v>Global Aggregate</v>
      </c>
      <c r="F91" s="3">
        <v>7.1000000000000004E-3</v>
      </c>
    </row>
    <row r="92" spans="1:6" x14ac:dyDescent="0.3">
      <c r="A92" t="s">
        <v>62</v>
      </c>
      <c r="B92" t="s">
        <v>73</v>
      </c>
      <c r="C92" t="s">
        <v>74</v>
      </c>
      <c r="D92" t="str">
        <f>VLOOKUP(B92,Sheet2!A:D,3,FALSE)</f>
        <v>Fixed Income</v>
      </c>
      <c r="E92" t="str">
        <f>VLOOKUP(B92,Sheet2!A:D,4,FALSE)</f>
        <v>Global Aggregate</v>
      </c>
      <c r="F92" s="3">
        <v>5.3E-3</v>
      </c>
    </row>
    <row r="93" spans="1:6" x14ac:dyDescent="0.3">
      <c r="A93" t="s">
        <v>62</v>
      </c>
      <c r="B93" t="s">
        <v>59</v>
      </c>
      <c r="C93" t="s">
        <v>60</v>
      </c>
      <c r="D93" t="str">
        <f>VLOOKUP(B93,Sheet2!A:D,3,FALSE)</f>
        <v>Equity</v>
      </c>
      <c r="E93" t="str">
        <f>VLOOKUP(B93,Sheet2!A:D,4,FALSE)</f>
        <v>Emerging Markets</v>
      </c>
      <c r="F93" s="3">
        <v>5.1999999999999998E-3</v>
      </c>
    </row>
    <row r="94" spans="1:6" x14ac:dyDescent="0.3">
      <c r="A94" t="s">
        <v>62</v>
      </c>
      <c r="B94" t="s">
        <v>75</v>
      </c>
      <c r="C94" t="s">
        <v>76</v>
      </c>
      <c r="D94" t="str">
        <f>VLOOKUP(B94,Sheet2!A:D,3,FALSE)</f>
        <v>Fixed Income</v>
      </c>
      <c r="E94" t="str">
        <f>VLOOKUP(B94,Sheet2!A:D,4,FALSE)</f>
        <v>UK Corporate</v>
      </c>
      <c r="F94" s="3">
        <v>4.8999999999999998E-3</v>
      </c>
    </row>
    <row r="95" spans="1:6" x14ac:dyDescent="0.3">
      <c r="A95" t="s">
        <v>62</v>
      </c>
      <c r="B95" t="s">
        <v>77</v>
      </c>
      <c r="C95" t="s">
        <v>78</v>
      </c>
      <c r="D95" t="str">
        <f>VLOOKUP(B95,Sheet2!A:D,3,FALSE)</f>
        <v>Fixed Income</v>
      </c>
      <c r="E95" t="str">
        <f>VLOOKUP(B95,Sheet2!A:D,4,FALSE)</f>
        <v>UK Corporate</v>
      </c>
      <c r="F95" s="3">
        <v>4.8999999999999998E-3</v>
      </c>
    </row>
    <row r="96" spans="1:6" x14ac:dyDescent="0.3">
      <c r="A96" t="s">
        <v>62</v>
      </c>
      <c r="B96" t="s">
        <v>55</v>
      </c>
      <c r="C96" t="s">
        <v>56</v>
      </c>
      <c r="D96" t="str">
        <f>VLOOKUP(B96,Sheet2!A:D,3,FALSE)</f>
        <v>Equity</v>
      </c>
      <c r="E96" t="str">
        <f>VLOOKUP(B96,Sheet2!A:D,4,FALSE)</f>
        <v>Asia ex Japan</v>
      </c>
      <c r="F96" s="3">
        <v>3.8999999999999998E-3</v>
      </c>
    </row>
    <row r="97" spans="1:6" x14ac:dyDescent="0.3">
      <c r="A97" t="s">
        <v>62</v>
      </c>
      <c r="B97" t="s">
        <v>79</v>
      </c>
      <c r="C97" t="s">
        <v>80</v>
      </c>
      <c r="D97" t="str">
        <f>VLOOKUP(B97,Sheet2!A:D,3,FALSE)</f>
        <v>Fixed Income</v>
      </c>
      <c r="E97" t="str">
        <f>VLOOKUP(B97,Sheet2!A:D,4,FALSE)</f>
        <v>Euro Govt</v>
      </c>
      <c r="F97" s="3">
        <v>3.7000000000000002E-3</v>
      </c>
    </row>
    <row r="98" spans="1:6" x14ac:dyDescent="0.3">
      <c r="A98" t="s">
        <v>62</v>
      </c>
      <c r="B98" t="s">
        <v>81</v>
      </c>
      <c r="C98" t="s">
        <v>82</v>
      </c>
      <c r="D98" t="str">
        <f>VLOOKUP(B98,Sheet2!A:D,3,FALSE)</f>
        <v>Fixed Income</v>
      </c>
      <c r="E98" t="str">
        <f>VLOOKUP(B98,Sheet2!A:D,4,FALSE)</f>
        <v>UK Govt</v>
      </c>
      <c r="F98" s="3">
        <v>2.3999999999999998E-3</v>
      </c>
    </row>
    <row r="99" spans="1:6" x14ac:dyDescent="0.3">
      <c r="A99" t="s">
        <v>83</v>
      </c>
      <c r="B99" t="s">
        <v>37</v>
      </c>
      <c r="C99" t="s">
        <v>38</v>
      </c>
      <c r="D99" t="str">
        <f>VLOOKUP(B99,Sheet2!A:D,3,FALSE)</f>
        <v>Fixed Income</v>
      </c>
      <c r="E99" t="str">
        <f>VLOOKUP(B99,Sheet2!A:D,4,FALSE)</f>
        <v>Global Aggregate</v>
      </c>
      <c r="F99" s="3">
        <v>7.2400000000000006E-2</v>
      </c>
    </row>
    <row r="100" spans="1:6" x14ac:dyDescent="0.3">
      <c r="A100" t="s">
        <v>83</v>
      </c>
      <c r="B100" t="s">
        <v>39</v>
      </c>
      <c r="C100" t="s">
        <v>40</v>
      </c>
      <c r="D100" t="str">
        <f>VLOOKUP(B100,Sheet2!A:D,3,FALSE)</f>
        <v>Alternative</v>
      </c>
      <c r="E100" t="str">
        <f>VLOOKUP(B100,Sheet2!A:D,4,FALSE)</f>
        <v>Alternative</v>
      </c>
      <c r="F100" s="3">
        <v>6.88E-2</v>
      </c>
    </row>
    <row r="101" spans="1:6" x14ac:dyDescent="0.3">
      <c r="A101" t="s">
        <v>83</v>
      </c>
      <c r="B101" t="s">
        <v>43</v>
      </c>
      <c r="C101" t="s">
        <v>44</v>
      </c>
      <c r="D101" t="str">
        <f>VLOOKUP(B101,Sheet2!A:D,3,FALSE)</f>
        <v>Alternative</v>
      </c>
      <c r="E101" t="str">
        <f>VLOOKUP(B101,Sheet2!A:D,4,FALSE)</f>
        <v>Alternative</v>
      </c>
      <c r="F101" s="3">
        <v>6.3799999999999996E-2</v>
      </c>
    </row>
    <row r="102" spans="1:6" x14ac:dyDescent="0.3">
      <c r="A102" t="s">
        <v>83</v>
      </c>
      <c r="B102" t="s">
        <v>3</v>
      </c>
      <c r="C102" t="s">
        <v>4</v>
      </c>
      <c r="D102" t="str">
        <f>VLOOKUP(B102,Sheet2!A:D,3,FALSE)</f>
        <v>Equity</v>
      </c>
      <c r="E102" t="str">
        <f>VLOOKUP(B102,Sheet2!A:D,4,FALSE)</f>
        <v>US</v>
      </c>
      <c r="F102" s="3">
        <v>5.0500000000000003E-2</v>
      </c>
    </row>
    <row r="103" spans="1:6" x14ac:dyDescent="0.3">
      <c r="A103" t="s">
        <v>83</v>
      </c>
      <c r="B103" t="s">
        <v>5</v>
      </c>
      <c r="C103" t="s">
        <v>6</v>
      </c>
      <c r="D103" t="str">
        <f>VLOOKUP(B103,Sheet2!A:D,3,FALSE)</f>
        <v>Equity</v>
      </c>
      <c r="E103" t="str">
        <f>VLOOKUP(B103,Sheet2!A:D,4,FALSE)</f>
        <v>US</v>
      </c>
      <c r="F103" s="3">
        <v>5.0500000000000003E-2</v>
      </c>
    </row>
    <row r="104" spans="1:6" x14ac:dyDescent="0.3">
      <c r="A104" t="s">
        <v>83</v>
      </c>
      <c r="B104" t="s">
        <v>17</v>
      </c>
      <c r="C104" t="s">
        <v>18</v>
      </c>
      <c r="D104" t="str">
        <f>VLOOKUP(B104,Sheet2!A:D,3,FALSE)</f>
        <v>Equity</v>
      </c>
      <c r="E104" t="str">
        <f>VLOOKUP(B104,Sheet2!A:D,4,FALSE)</f>
        <v>UK</v>
      </c>
      <c r="F104" s="3">
        <v>4.2999999999999997E-2</v>
      </c>
    </row>
    <row r="105" spans="1:6" x14ac:dyDescent="0.3">
      <c r="A105" t="s">
        <v>83</v>
      </c>
      <c r="B105" t="s">
        <v>7</v>
      </c>
      <c r="C105" t="s">
        <v>8</v>
      </c>
      <c r="D105" t="str">
        <f>VLOOKUP(B105,Sheet2!A:D,3,FALSE)</f>
        <v>Equity</v>
      </c>
      <c r="E105" t="str">
        <f>VLOOKUP(B105,Sheet2!A:D,4,FALSE)</f>
        <v>Japan</v>
      </c>
      <c r="F105" s="3">
        <v>3.9100000000000003E-2</v>
      </c>
    </row>
    <row r="106" spans="1:6" x14ac:dyDescent="0.3">
      <c r="A106" t="s">
        <v>83</v>
      </c>
      <c r="B106" t="s">
        <v>19</v>
      </c>
      <c r="C106" t="s">
        <v>20</v>
      </c>
      <c r="D106" t="str">
        <f>VLOOKUP(B106,Sheet2!A:D,3,FALSE)</f>
        <v>Equity</v>
      </c>
      <c r="E106" t="str">
        <f>VLOOKUP(B106,Sheet2!A:D,4,FALSE)</f>
        <v>UK</v>
      </c>
      <c r="F106" s="3">
        <v>3.8100000000000002E-2</v>
      </c>
    </row>
    <row r="107" spans="1:6" x14ac:dyDescent="0.3">
      <c r="A107" t="s">
        <v>83</v>
      </c>
      <c r="B107" t="s">
        <v>21</v>
      </c>
      <c r="C107" t="s">
        <v>22</v>
      </c>
      <c r="D107" t="str">
        <f>VLOOKUP(B107,Sheet2!A:D,3,FALSE)</f>
        <v>Equity</v>
      </c>
      <c r="E107" t="str">
        <f>VLOOKUP(B107,Sheet2!A:D,4,FALSE)</f>
        <v>UK</v>
      </c>
      <c r="F107" s="3">
        <v>3.6700000000000003E-2</v>
      </c>
    </row>
    <row r="108" spans="1:6" x14ac:dyDescent="0.3">
      <c r="A108" t="s">
        <v>83</v>
      </c>
      <c r="B108" t="s">
        <v>9</v>
      </c>
      <c r="C108" t="s">
        <v>10</v>
      </c>
      <c r="D108" t="str">
        <f>VLOOKUP(B108,Sheet2!A:D,3,FALSE)</f>
        <v>Equity</v>
      </c>
      <c r="E108" t="str">
        <f>VLOOKUP(B108,Sheet2!A:D,4,FALSE)</f>
        <v>Europe ex UK</v>
      </c>
      <c r="F108" s="3">
        <v>3.5999999999999997E-2</v>
      </c>
    </row>
    <row r="109" spans="1:6" x14ac:dyDescent="0.3">
      <c r="A109" t="s">
        <v>83</v>
      </c>
      <c r="B109" t="s">
        <v>63</v>
      </c>
      <c r="C109" t="s">
        <v>64</v>
      </c>
      <c r="D109" t="str">
        <f>VLOOKUP(B109,Sheet2!A:D,3,FALSE)</f>
        <v>Fixed Income</v>
      </c>
      <c r="E109" t="str">
        <f>VLOOKUP(B109,Sheet2!A:D,4,FALSE)</f>
        <v>Global Govt</v>
      </c>
      <c r="F109" s="3">
        <v>3.4799999999999998E-2</v>
      </c>
    </row>
    <row r="110" spans="1:6" x14ac:dyDescent="0.3">
      <c r="A110" t="s">
        <v>83</v>
      </c>
      <c r="B110" t="s">
        <v>65</v>
      </c>
      <c r="C110" t="s">
        <v>66</v>
      </c>
      <c r="D110" t="str">
        <f>VLOOKUP(B110,Sheet2!A:D,3,FALSE)</f>
        <v>Fixed Income</v>
      </c>
      <c r="E110" t="str">
        <f>VLOOKUP(B110,Sheet2!A:D,4,FALSE)</f>
        <v>UK Govt</v>
      </c>
      <c r="F110" s="3">
        <v>3.0800000000000001E-2</v>
      </c>
    </row>
    <row r="111" spans="1:6" x14ac:dyDescent="0.3">
      <c r="A111" s="4" t="s">
        <v>83</v>
      </c>
      <c r="B111" s="4" t="s">
        <v>11</v>
      </c>
      <c r="C111" s="4" t="s">
        <v>12</v>
      </c>
      <c r="D111" t="str">
        <f>VLOOKUP(B111,Sheet2!A:D,3,FALSE)</f>
        <v>Equity</v>
      </c>
      <c r="E111" t="str">
        <f>VLOOKUP(B111,Sheet2!A:D,4,FALSE)</f>
        <v>Global</v>
      </c>
      <c r="F111" s="5">
        <v>3.04E-2</v>
      </c>
    </row>
    <row r="112" spans="1:6" x14ac:dyDescent="0.3">
      <c r="A112" t="s">
        <v>83</v>
      </c>
      <c r="B112" t="s">
        <v>13</v>
      </c>
      <c r="C112" t="s">
        <v>14</v>
      </c>
      <c r="D112" t="str">
        <f>VLOOKUP(B112,Sheet2!A:D,3,FALSE)</f>
        <v>Equity</v>
      </c>
      <c r="E112" t="str">
        <f>VLOOKUP(B112,Sheet2!A:D,4,FALSE)</f>
        <v>Europe ex UK</v>
      </c>
      <c r="F112" s="3">
        <v>2.7E-2</v>
      </c>
    </row>
    <row r="113" spans="1:6" x14ac:dyDescent="0.3">
      <c r="A113" t="s">
        <v>83</v>
      </c>
      <c r="B113" t="s">
        <v>15</v>
      </c>
      <c r="C113" t="s">
        <v>16</v>
      </c>
      <c r="D113" t="str">
        <f>VLOOKUP(B113,Sheet2!A:D,3,FALSE)</f>
        <v>Equity</v>
      </c>
      <c r="E113" t="str">
        <f>VLOOKUP(B113,Sheet2!A:D,4,FALSE)</f>
        <v>Europe ex UK</v>
      </c>
      <c r="F113" s="3">
        <v>2.7E-2</v>
      </c>
    </row>
    <row r="114" spans="1:6" x14ac:dyDescent="0.3">
      <c r="A114" t="s">
        <v>83</v>
      </c>
      <c r="B114" t="s">
        <v>33</v>
      </c>
      <c r="C114" t="s">
        <v>34</v>
      </c>
      <c r="D114" t="str">
        <f>VLOOKUP(B114,Sheet2!A:D,3,FALSE)</f>
        <v>Equity</v>
      </c>
      <c r="E114" t="str">
        <f>VLOOKUP(B114,Sheet2!A:D,4,FALSE)</f>
        <v>Thematic</v>
      </c>
      <c r="F114" s="3">
        <v>2.5100000000000001E-2</v>
      </c>
    </row>
    <row r="115" spans="1:6" x14ac:dyDescent="0.3">
      <c r="A115" s="4" t="s">
        <v>83</v>
      </c>
      <c r="B115" s="4" t="s">
        <v>53</v>
      </c>
      <c r="C115" s="4" t="s">
        <v>54</v>
      </c>
      <c r="D115" t="str">
        <f>VLOOKUP(B115,Sheet2!A:D,3,FALSE)</f>
        <v>Alternative</v>
      </c>
      <c r="E115" t="str">
        <f>VLOOKUP(B115,Sheet2!A:D,4,FALSE)</f>
        <v>Alternative</v>
      </c>
      <c r="F115" s="5">
        <v>2.5000000000000001E-2</v>
      </c>
    </row>
    <row r="116" spans="1:6" x14ac:dyDescent="0.3">
      <c r="A116" t="s">
        <v>83</v>
      </c>
      <c r="B116" t="s">
        <v>67</v>
      </c>
      <c r="C116" t="s">
        <v>68</v>
      </c>
      <c r="D116" t="str">
        <f>VLOOKUP(B116,Sheet2!A:D,3,FALSE)</f>
        <v>Fixed Income</v>
      </c>
      <c r="E116" t="str">
        <f>VLOOKUP(B116,Sheet2!A:D,4,FALSE)</f>
        <v>Global Corporate</v>
      </c>
      <c r="F116" s="3">
        <v>2.2100000000000002E-2</v>
      </c>
    </row>
    <row r="117" spans="1:6" x14ac:dyDescent="0.3">
      <c r="A117" t="s">
        <v>83</v>
      </c>
      <c r="B117" t="s">
        <v>45</v>
      </c>
      <c r="C117" t="s">
        <v>46</v>
      </c>
      <c r="D117" t="str">
        <f>VLOOKUP(B117,Sheet2!A:D,3,FALSE)</f>
        <v>Equity</v>
      </c>
      <c r="E117" t="str">
        <f>VLOOKUP(B117,Sheet2!A:D,4,FALSE)</f>
        <v>UK</v>
      </c>
      <c r="F117" s="3">
        <v>2.0799999999999999E-2</v>
      </c>
    </row>
    <row r="118" spans="1:6" x14ac:dyDescent="0.3">
      <c r="A118" t="s">
        <v>83</v>
      </c>
      <c r="B118" t="s">
        <v>57</v>
      </c>
      <c r="C118" t="s">
        <v>58</v>
      </c>
      <c r="D118" t="str">
        <f>VLOOKUP(B118,Sheet2!A:D,3,FALSE)</f>
        <v>Alternative</v>
      </c>
      <c r="E118" t="str">
        <f>VLOOKUP(B118,Sheet2!A:D,4,FALSE)</f>
        <v>Alternative</v>
      </c>
      <c r="F118" s="3">
        <v>0.02</v>
      </c>
    </row>
    <row r="119" spans="1:6" x14ac:dyDescent="0.3">
      <c r="A119" t="s">
        <v>83</v>
      </c>
      <c r="B119" t="s">
        <v>69</v>
      </c>
      <c r="C119" t="s">
        <v>70</v>
      </c>
      <c r="D119" t="str">
        <f>VLOOKUP(B119,Sheet2!A:D,3,FALSE)</f>
        <v>Fixed Income</v>
      </c>
      <c r="E119" t="str">
        <f>VLOOKUP(B119,Sheet2!A:D,4,FALSE)</f>
        <v>Global Aggregate</v>
      </c>
      <c r="F119" s="3">
        <v>1.9300000000000001E-2</v>
      </c>
    </row>
    <row r="120" spans="1:6" x14ac:dyDescent="0.3">
      <c r="A120" t="s">
        <v>83</v>
      </c>
      <c r="B120" t="s">
        <v>25</v>
      </c>
      <c r="C120" t="s">
        <v>26</v>
      </c>
      <c r="D120" t="str">
        <f>VLOOKUP(B120,Sheet2!A:D,3,FALSE)</f>
        <v>Equity</v>
      </c>
      <c r="E120" t="str">
        <f>VLOOKUP(B120,Sheet2!A:D,4,FALSE)</f>
        <v>US</v>
      </c>
      <c r="F120" s="3">
        <v>1.8499999999999999E-2</v>
      </c>
    </row>
    <row r="121" spans="1:6" x14ac:dyDescent="0.3">
      <c r="A121" t="s">
        <v>83</v>
      </c>
      <c r="B121" t="s">
        <v>27</v>
      </c>
      <c r="C121" t="s">
        <v>28</v>
      </c>
      <c r="D121" t="str">
        <f>VLOOKUP(B121,Sheet2!A:D,3,FALSE)</f>
        <v>Equity</v>
      </c>
      <c r="E121" t="str">
        <f>VLOOKUP(B121,Sheet2!A:D,4,FALSE)</f>
        <v>US</v>
      </c>
      <c r="F121" s="3">
        <v>1.77E-2</v>
      </c>
    </row>
    <row r="122" spans="1:6" x14ac:dyDescent="0.3">
      <c r="A122" s="4" t="s">
        <v>83</v>
      </c>
      <c r="B122" s="4" t="s">
        <v>31</v>
      </c>
      <c r="C122" s="4" t="s">
        <v>32</v>
      </c>
      <c r="D122" t="str">
        <f>VLOOKUP(B122,Sheet2!A:D,3,FALSE)</f>
        <v>Equity</v>
      </c>
      <c r="E122" t="str">
        <f>VLOOKUP(B122,Sheet2!A:D,4,FALSE)</f>
        <v>US</v>
      </c>
      <c r="F122" s="5">
        <v>1.7000000000000001E-2</v>
      </c>
    </row>
    <row r="123" spans="1:6" x14ac:dyDescent="0.3">
      <c r="A123" t="s">
        <v>83</v>
      </c>
      <c r="B123" t="s">
        <v>71</v>
      </c>
      <c r="C123" t="s">
        <v>72</v>
      </c>
      <c r="D123" t="str">
        <f>VLOOKUP(B123,Sheet2!A:D,3,FALSE)</f>
        <v>Fixed Income</v>
      </c>
      <c r="E123" t="str">
        <f>VLOOKUP(B123,Sheet2!A:D,4,FALSE)</f>
        <v>Global Aggregate</v>
      </c>
      <c r="F123" s="3">
        <v>1.6899999999999998E-2</v>
      </c>
    </row>
    <row r="124" spans="1:6" x14ac:dyDescent="0.3">
      <c r="A124" t="s">
        <v>83</v>
      </c>
      <c r="B124" t="s">
        <v>35</v>
      </c>
      <c r="C124" t="s">
        <v>36</v>
      </c>
      <c r="D124" t="str">
        <f>VLOOKUP(B124,Sheet2!A:D,3,FALSE)</f>
        <v>Equity</v>
      </c>
      <c r="E124" t="str">
        <f>VLOOKUP(B124,Sheet2!A:D,4,FALSE)</f>
        <v>Emerging Markets</v>
      </c>
      <c r="F124" s="3">
        <v>1.66E-2</v>
      </c>
    </row>
    <row r="125" spans="1:6" x14ac:dyDescent="0.3">
      <c r="A125" t="s">
        <v>83</v>
      </c>
      <c r="B125" t="s">
        <v>23</v>
      </c>
      <c r="C125" t="s">
        <v>24</v>
      </c>
      <c r="D125" t="str">
        <f>VLOOKUP(B125,Sheet2!A:D,3,FALSE)</f>
        <v>Equity</v>
      </c>
      <c r="E125" t="str">
        <f>VLOOKUP(B125,Sheet2!A:D,4,FALSE)</f>
        <v>Asia ex Japan</v>
      </c>
      <c r="F125" s="3">
        <v>1.5100000000000001E-2</v>
      </c>
    </row>
    <row r="126" spans="1:6" x14ac:dyDescent="0.3">
      <c r="A126" t="s">
        <v>83</v>
      </c>
      <c r="B126" t="s">
        <v>41</v>
      </c>
      <c r="C126" t="s">
        <v>42</v>
      </c>
      <c r="D126" t="str">
        <f>VLOOKUP(B126,Sheet2!A:D,3,FALSE)</f>
        <v>Equity</v>
      </c>
      <c r="E126" t="str">
        <f>VLOOKUP(B126,Sheet2!A:D,4,FALSE)</f>
        <v>Emerging Markets</v>
      </c>
      <c r="F126" s="3">
        <v>1.47E-2</v>
      </c>
    </row>
    <row r="127" spans="1:6" x14ac:dyDescent="0.3">
      <c r="A127" s="4" t="s">
        <v>83</v>
      </c>
      <c r="B127" s="4" t="s">
        <v>29</v>
      </c>
      <c r="C127" s="4" t="s">
        <v>30</v>
      </c>
      <c r="D127" t="str">
        <f>VLOOKUP(B127,Sheet2!A:D,3,FALSE)</f>
        <v>Equity</v>
      </c>
      <c r="E127" t="str">
        <f>VLOOKUP(B127,Sheet2!A:D,4,FALSE)</f>
        <v>Asia ex Japan</v>
      </c>
      <c r="F127" s="5">
        <v>1.41E-2</v>
      </c>
    </row>
    <row r="128" spans="1:6" x14ac:dyDescent="0.3">
      <c r="A128" t="s">
        <v>83</v>
      </c>
      <c r="B128" t="s">
        <v>73</v>
      </c>
      <c r="C128" t="s">
        <v>74</v>
      </c>
      <c r="D128" t="str">
        <f>VLOOKUP(B128,Sheet2!A:D,3,FALSE)</f>
        <v>Fixed Income</v>
      </c>
      <c r="E128" t="str">
        <f>VLOOKUP(B128,Sheet2!A:D,4,FALSE)</f>
        <v>Global Aggregate</v>
      </c>
      <c r="F128" s="3">
        <v>1.2699999999999999E-2</v>
      </c>
    </row>
    <row r="129" spans="1:6" x14ac:dyDescent="0.3">
      <c r="A129" t="s">
        <v>83</v>
      </c>
      <c r="B129" t="s">
        <v>77</v>
      </c>
      <c r="C129" t="s">
        <v>78</v>
      </c>
      <c r="D129" t="str">
        <f>VLOOKUP(B129,Sheet2!A:D,3,FALSE)</f>
        <v>Fixed Income</v>
      </c>
      <c r="E129" t="str">
        <f>VLOOKUP(B129,Sheet2!A:D,4,FALSE)</f>
        <v>UK Corporate</v>
      </c>
      <c r="F129" s="3">
        <v>1.18E-2</v>
      </c>
    </row>
    <row r="130" spans="1:6" x14ac:dyDescent="0.3">
      <c r="A130" t="s">
        <v>83</v>
      </c>
      <c r="B130" t="s">
        <v>75</v>
      </c>
      <c r="C130" t="s">
        <v>76</v>
      </c>
      <c r="D130" t="str">
        <f>VLOOKUP(B130,Sheet2!A:D,3,FALSE)</f>
        <v>Fixed Income</v>
      </c>
      <c r="E130" t="str">
        <f>VLOOKUP(B130,Sheet2!A:D,4,FALSE)</f>
        <v>UK Corporate</v>
      </c>
      <c r="F130" s="3">
        <v>1.17E-2</v>
      </c>
    </row>
    <row r="131" spans="1:6" x14ac:dyDescent="0.3">
      <c r="A131" t="s">
        <v>83</v>
      </c>
      <c r="B131" t="s">
        <v>47</v>
      </c>
      <c r="C131" t="s">
        <v>48</v>
      </c>
      <c r="D131" t="str">
        <f>VLOOKUP(B131,Sheet2!A:D,3,FALSE)</f>
        <v>Equity</v>
      </c>
      <c r="E131" t="str">
        <f>VLOOKUP(B131,Sheet2!A:D,4,FALSE)</f>
        <v>Emerging Markets</v>
      </c>
      <c r="F131" s="3">
        <v>1.04E-2</v>
      </c>
    </row>
    <row r="132" spans="1:6" x14ac:dyDescent="0.3">
      <c r="A132" s="4" t="s">
        <v>83</v>
      </c>
      <c r="B132" s="4" t="s">
        <v>79</v>
      </c>
      <c r="C132" s="4" t="s">
        <v>80</v>
      </c>
      <c r="D132" t="str">
        <f>VLOOKUP(B132,Sheet2!A:D,3,FALSE)</f>
        <v>Fixed Income</v>
      </c>
      <c r="E132" t="str">
        <f>VLOOKUP(B132,Sheet2!A:D,4,FALSE)</f>
        <v>Euro Govt</v>
      </c>
      <c r="F132" s="5">
        <v>8.9999999999999993E-3</v>
      </c>
    </row>
    <row r="133" spans="1:6" x14ac:dyDescent="0.3">
      <c r="A133" s="4" t="s">
        <v>83</v>
      </c>
      <c r="B133" s="4" t="s">
        <v>49</v>
      </c>
      <c r="C133" s="4" t="s">
        <v>50</v>
      </c>
      <c r="D133" t="str">
        <f>VLOOKUP(B133,Sheet2!A:D,3,FALSE)</f>
        <v>Equity</v>
      </c>
      <c r="E133" t="str">
        <f>VLOOKUP(B133,Sheet2!A:D,4,FALSE)</f>
        <v>Thematic</v>
      </c>
      <c r="F133" s="5">
        <v>8.3999999999999995E-3</v>
      </c>
    </row>
    <row r="134" spans="1:6" x14ac:dyDescent="0.3">
      <c r="A134" t="s">
        <v>83</v>
      </c>
      <c r="B134" t="s">
        <v>51</v>
      </c>
      <c r="C134" t="s">
        <v>52</v>
      </c>
      <c r="D134" t="str">
        <f>VLOOKUP(B134,Sheet2!A:D,3,FALSE)</f>
        <v>Equity</v>
      </c>
      <c r="E134" t="str">
        <f>VLOOKUP(B134,Sheet2!A:D,4,FALSE)</f>
        <v>Thematic</v>
      </c>
      <c r="F134" s="3">
        <v>7.4999999999999997E-3</v>
      </c>
    </row>
    <row r="135" spans="1:6" x14ac:dyDescent="0.3">
      <c r="A135" t="s">
        <v>83</v>
      </c>
      <c r="B135" t="s">
        <v>81</v>
      </c>
      <c r="C135" t="s">
        <v>82</v>
      </c>
      <c r="D135" t="str">
        <f>VLOOKUP(B135,Sheet2!A:D,3,FALSE)</f>
        <v>Fixed Income</v>
      </c>
      <c r="E135" t="str">
        <f>VLOOKUP(B135,Sheet2!A:D,4,FALSE)</f>
        <v>UK Govt</v>
      </c>
      <c r="F135" s="3">
        <v>5.7000000000000002E-3</v>
      </c>
    </row>
    <row r="136" spans="1:6" x14ac:dyDescent="0.3">
      <c r="A136" t="s">
        <v>83</v>
      </c>
      <c r="B136" t="s">
        <v>59</v>
      </c>
      <c r="C136" t="s">
        <v>60</v>
      </c>
      <c r="D136" t="str">
        <f>VLOOKUP(B136,Sheet2!A:D,3,FALSE)</f>
        <v>Equity</v>
      </c>
      <c r="E136" t="str">
        <f>VLOOKUP(B136,Sheet2!A:D,4,FALSE)</f>
        <v>Emerging Markets</v>
      </c>
      <c r="F136" s="3">
        <v>4.4000000000000003E-3</v>
      </c>
    </row>
    <row r="137" spans="1:6" x14ac:dyDescent="0.3">
      <c r="A137" s="4" t="s">
        <v>83</v>
      </c>
      <c r="B137" s="4" t="s">
        <v>84</v>
      </c>
      <c r="C137" s="4" t="s">
        <v>85</v>
      </c>
      <c r="D137" t="str">
        <f>VLOOKUP(B137,Sheet2!A:D,3,FALSE)</f>
        <v>Cash</v>
      </c>
      <c r="E137" t="str">
        <f>VLOOKUP(B137,Sheet2!A:D,4,FALSE)</f>
        <v>Cash</v>
      </c>
      <c r="F137" s="5">
        <v>3.3E-3</v>
      </c>
    </row>
    <row r="138" spans="1:6" x14ac:dyDescent="0.3">
      <c r="A138" t="s">
        <v>83</v>
      </c>
      <c r="B138" t="s">
        <v>55</v>
      </c>
      <c r="C138" t="s">
        <v>56</v>
      </c>
      <c r="D138" t="str">
        <f>VLOOKUP(B138,Sheet2!A:D,3,FALSE)</f>
        <v>Equity</v>
      </c>
      <c r="E138" t="str">
        <f>VLOOKUP(B138,Sheet2!A:D,4,FALSE)</f>
        <v>Asia ex Japan</v>
      </c>
      <c r="F138" s="3">
        <v>3.3E-3</v>
      </c>
    </row>
    <row r="139" spans="1:6" x14ac:dyDescent="0.3">
      <c r="A139" t="s">
        <v>86</v>
      </c>
      <c r="B139" t="s">
        <v>37</v>
      </c>
      <c r="C139" t="s">
        <v>38</v>
      </c>
      <c r="D139" t="str">
        <f>VLOOKUP(B139,Sheet2!A:D,3,FALSE)</f>
        <v>Fixed Income</v>
      </c>
      <c r="E139" t="str">
        <f>VLOOKUP(B139,Sheet2!A:D,4,FALSE)</f>
        <v>Global Aggregate</v>
      </c>
      <c r="F139" s="3">
        <v>7.2400000000000006E-2</v>
      </c>
    </row>
    <row r="140" spans="1:6" x14ac:dyDescent="0.3">
      <c r="A140" t="s">
        <v>86</v>
      </c>
      <c r="B140" t="s">
        <v>39</v>
      </c>
      <c r="C140" t="s">
        <v>40</v>
      </c>
      <c r="D140" t="str">
        <f>VLOOKUP(B140,Sheet2!A:D,3,FALSE)</f>
        <v>Alternative</v>
      </c>
      <c r="E140" t="str">
        <f>VLOOKUP(B140,Sheet2!A:D,4,FALSE)</f>
        <v>Alternative</v>
      </c>
      <c r="F140" s="3">
        <v>6.88E-2</v>
      </c>
    </row>
    <row r="141" spans="1:6" x14ac:dyDescent="0.3">
      <c r="A141" t="s">
        <v>86</v>
      </c>
      <c r="B141" t="s">
        <v>43</v>
      </c>
      <c r="C141" t="s">
        <v>44</v>
      </c>
      <c r="D141" t="str">
        <f>VLOOKUP(B141,Sheet2!A:D,3,FALSE)</f>
        <v>Alternative</v>
      </c>
      <c r="E141" t="str">
        <f>VLOOKUP(B141,Sheet2!A:D,4,FALSE)</f>
        <v>Alternative</v>
      </c>
      <c r="F141" s="3">
        <v>6.3799999999999996E-2</v>
      </c>
    </row>
    <row r="142" spans="1:6" x14ac:dyDescent="0.3">
      <c r="A142" t="s">
        <v>86</v>
      </c>
      <c r="B142" t="s">
        <v>63</v>
      </c>
      <c r="C142" t="s">
        <v>64</v>
      </c>
      <c r="D142" t="str">
        <f>VLOOKUP(B142,Sheet2!A:D,3,FALSE)</f>
        <v>Fixed Income</v>
      </c>
      <c r="E142" t="str">
        <f>VLOOKUP(B142,Sheet2!A:D,4,FALSE)</f>
        <v>Global Govt</v>
      </c>
      <c r="F142" s="3">
        <v>5.3499999999999999E-2</v>
      </c>
    </row>
    <row r="143" spans="1:6" x14ac:dyDescent="0.3">
      <c r="A143" t="s">
        <v>86</v>
      </c>
      <c r="B143" t="s">
        <v>65</v>
      </c>
      <c r="C143" t="s">
        <v>66</v>
      </c>
      <c r="D143" t="str">
        <f>VLOOKUP(B143,Sheet2!A:D,3,FALSE)</f>
        <v>Fixed Income</v>
      </c>
      <c r="E143" t="str">
        <f>VLOOKUP(B143,Sheet2!A:D,4,FALSE)</f>
        <v>UK Govt</v>
      </c>
      <c r="F143" s="3">
        <v>4.7300000000000002E-2</v>
      </c>
    </row>
    <row r="144" spans="1:6" x14ac:dyDescent="0.3">
      <c r="A144" t="s">
        <v>86</v>
      </c>
      <c r="B144" t="s">
        <v>3</v>
      </c>
      <c r="C144" t="s">
        <v>4</v>
      </c>
      <c r="D144" t="str">
        <f>VLOOKUP(B144,Sheet2!A:D,3,FALSE)</f>
        <v>Equity</v>
      </c>
      <c r="E144" t="str">
        <f>VLOOKUP(B144,Sheet2!A:D,4,FALSE)</f>
        <v>US</v>
      </c>
      <c r="F144" s="3">
        <v>4.0099999999999997E-2</v>
      </c>
    </row>
    <row r="145" spans="1:6" x14ac:dyDescent="0.3">
      <c r="A145" s="4" t="s">
        <v>86</v>
      </c>
      <c r="B145" s="4" t="s">
        <v>5</v>
      </c>
      <c r="C145" s="4" t="s">
        <v>6</v>
      </c>
      <c r="D145" t="str">
        <f>VLOOKUP(B145,Sheet2!A:D,3,FALSE)</f>
        <v>Equity</v>
      </c>
      <c r="E145" t="str">
        <f>VLOOKUP(B145,Sheet2!A:D,4,FALSE)</f>
        <v>US</v>
      </c>
      <c r="F145" s="5">
        <v>4.0099999999999997E-2</v>
      </c>
    </row>
    <row r="146" spans="1:6" x14ac:dyDescent="0.3">
      <c r="A146" t="s">
        <v>86</v>
      </c>
      <c r="B146" t="s">
        <v>17</v>
      </c>
      <c r="C146" t="s">
        <v>18</v>
      </c>
      <c r="D146" t="str">
        <f>VLOOKUP(B146,Sheet2!A:D,3,FALSE)</f>
        <v>Equity</v>
      </c>
      <c r="E146" t="str">
        <f>VLOOKUP(B146,Sheet2!A:D,4,FALSE)</f>
        <v>UK</v>
      </c>
      <c r="F146" s="3">
        <v>3.4200000000000001E-2</v>
      </c>
    </row>
    <row r="147" spans="1:6" x14ac:dyDescent="0.3">
      <c r="A147" t="s">
        <v>86</v>
      </c>
      <c r="B147" t="s">
        <v>67</v>
      </c>
      <c r="C147" t="s">
        <v>68</v>
      </c>
      <c r="D147" t="str">
        <f>VLOOKUP(B147,Sheet2!A:D,3,FALSE)</f>
        <v>Fixed Income</v>
      </c>
      <c r="E147" t="str">
        <f>VLOOKUP(B147,Sheet2!A:D,4,FALSE)</f>
        <v>Global Corporate</v>
      </c>
      <c r="F147" s="3">
        <v>3.4000000000000002E-2</v>
      </c>
    </row>
    <row r="148" spans="1:6" x14ac:dyDescent="0.3">
      <c r="A148" t="s">
        <v>86</v>
      </c>
      <c r="B148" t="s">
        <v>7</v>
      </c>
      <c r="C148" t="s">
        <v>8</v>
      </c>
      <c r="D148" t="str">
        <f>VLOOKUP(B148,Sheet2!A:D,3,FALSE)</f>
        <v>Equity</v>
      </c>
      <c r="E148" t="str">
        <f>VLOOKUP(B148,Sheet2!A:D,4,FALSE)</f>
        <v>Japan</v>
      </c>
      <c r="F148" s="3">
        <v>3.1099999999999999E-2</v>
      </c>
    </row>
    <row r="149" spans="1:6" x14ac:dyDescent="0.3">
      <c r="A149" t="s">
        <v>86</v>
      </c>
      <c r="B149" t="s">
        <v>19</v>
      </c>
      <c r="C149" t="s">
        <v>20</v>
      </c>
      <c r="D149" t="str">
        <f>VLOOKUP(B149,Sheet2!A:D,3,FALSE)</f>
        <v>Equity</v>
      </c>
      <c r="E149" t="str">
        <f>VLOOKUP(B149,Sheet2!A:D,4,FALSE)</f>
        <v>UK</v>
      </c>
      <c r="F149" s="3">
        <v>3.0300000000000001E-2</v>
      </c>
    </row>
    <row r="150" spans="1:6" x14ac:dyDescent="0.3">
      <c r="A150" t="s">
        <v>86</v>
      </c>
      <c r="B150" t="s">
        <v>69</v>
      </c>
      <c r="C150" t="s">
        <v>70</v>
      </c>
      <c r="D150" t="str">
        <f>VLOOKUP(B150,Sheet2!A:D,3,FALSE)</f>
        <v>Fixed Income</v>
      </c>
      <c r="E150" t="str">
        <f>VLOOKUP(B150,Sheet2!A:D,4,FALSE)</f>
        <v>Global Aggregate</v>
      </c>
      <c r="F150" s="3">
        <v>2.9600000000000001E-2</v>
      </c>
    </row>
    <row r="151" spans="1:6" x14ac:dyDescent="0.3">
      <c r="A151" t="s">
        <v>86</v>
      </c>
      <c r="B151" t="s">
        <v>21</v>
      </c>
      <c r="C151" t="s">
        <v>22</v>
      </c>
      <c r="D151" t="str">
        <f>VLOOKUP(B151,Sheet2!A:D,3,FALSE)</f>
        <v>Equity</v>
      </c>
      <c r="E151" t="str">
        <f>VLOOKUP(B151,Sheet2!A:D,4,FALSE)</f>
        <v>UK</v>
      </c>
      <c r="F151" s="3">
        <v>2.92E-2</v>
      </c>
    </row>
    <row r="152" spans="1:6" x14ac:dyDescent="0.3">
      <c r="A152" t="s">
        <v>86</v>
      </c>
      <c r="B152" t="s">
        <v>9</v>
      </c>
      <c r="C152" t="s">
        <v>10</v>
      </c>
      <c r="D152" t="str">
        <f>VLOOKUP(B152,Sheet2!A:D,3,FALSE)</f>
        <v>Equity</v>
      </c>
      <c r="E152" t="str">
        <f>VLOOKUP(B152,Sheet2!A:D,4,FALSE)</f>
        <v>Europe ex UK</v>
      </c>
      <c r="F152" s="3">
        <v>2.87E-2</v>
      </c>
    </row>
    <row r="153" spans="1:6" x14ac:dyDescent="0.3">
      <c r="A153" t="s">
        <v>86</v>
      </c>
      <c r="B153" t="s">
        <v>84</v>
      </c>
      <c r="C153" t="s">
        <v>85</v>
      </c>
      <c r="D153" t="str">
        <f>VLOOKUP(B153,Sheet2!A:D,3,FALSE)</f>
        <v>Cash</v>
      </c>
      <c r="E153" t="str">
        <f>VLOOKUP(B153,Sheet2!A:D,4,FALSE)</f>
        <v>Cash</v>
      </c>
      <c r="F153" s="3">
        <v>2.6499999999999999E-2</v>
      </c>
    </row>
    <row r="154" spans="1:6" x14ac:dyDescent="0.3">
      <c r="A154" t="s">
        <v>86</v>
      </c>
      <c r="B154" t="s">
        <v>71</v>
      </c>
      <c r="C154" t="s">
        <v>72</v>
      </c>
      <c r="D154" t="str">
        <f>VLOOKUP(B154,Sheet2!A:D,3,FALSE)</f>
        <v>Fixed Income</v>
      </c>
      <c r="E154" t="str">
        <f>VLOOKUP(B154,Sheet2!A:D,4,FALSE)</f>
        <v>Global Aggregate</v>
      </c>
      <c r="F154" s="3">
        <v>2.5999999999999999E-2</v>
      </c>
    </row>
    <row r="155" spans="1:6" x14ac:dyDescent="0.3">
      <c r="A155" t="s">
        <v>86</v>
      </c>
      <c r="B155" t="s">
        <v>53</v>
      </c>
      <c r="C155" t="s">
        <v>54</v>
      </c>
      <c r="D155" t="str">
        <f>VLOOKUP(B155,Sheet2!A:D,3,FALSE)</f>
        <v>Alternative</v>
      </c>
      <c r="E155" t="str">
        <f>VLOOKUP(B155,Sheet2!A:D,4,FALSE)</f>
        <v>Alternative</v>
      </c>
      <c r="F155" s="3">
        <v>2.5000000000000001E-2</v>
      </c>
    </row>
    <row r="156" spans="1:6" x14ac:dyDescent="0.3">
      <c r="A156" t="s">
        <v>86</v>
      </c>
      <c r="B156" t="s">
        <v>11</v>
      </c>
      <c r="C156" t="s">
        <v>12</v>
      </c>
      <c r="D156" t="str">
        <f>VLOOKUP(B156,Sheet2!A:D,3,FALSE)</f>
        <v>Equity</v>
      </c>
      <c r="E156" t="str">
        <f>VLOOKUP(B156,Sheet2!A:D,4,FALSE)</f>
        <v>Global</v>
      </c>
      <c r="F156" s="3">
        <v>2.4199999999999999E-2</v>
      </c>
    </row>
    <row r="157" spans="1:6" x14ac:dyDescent="0.3">
      <c r="A157" t="s">
        <v>86</v>
      </c>
      <c r="B157" t="s">
        <v>13</v>
      </c>
      <c r="C157" t="s">
        <v>14</v>
      </c>
      <c r="D157" t="str">
        <f>VLOOKUP(B157,Sheet2!A:D,3,FALSE)</f>
        <v>Equity</v>
      </c>
      <c r="E157" t="str">
        <f>VLOOKUP(B157,Sheet2!A:D,4,FALSE)</f>
        <v>Europe ex UK</v>
      </c>
      <c r="F157" s="3">
        <v>2.1499999999999998E-2</v>
      </c>
    </row>
    <row r="158" spans="1:6" x14ac:dyDescent="0.3">
      <c r="A158" t="s">
        <v>86</v>
      </c>
      <c r="B158" t="s">
        <v>15</v>
      </c>
      <c r="C158" t="s">
        <v>16</v>
      </c>
      <c r="D158" t="str">
        <f>VLOOKUP(B158,Sheet2!A:D,3,FALSE)</f>
        <v>Equity</v>
      </c>
      <c r="E158" t="str">
        <f>VLOOKUP(B158,Sheet2!A:D,4,FALSE)</f>
        <v>Europe ex UK</v>
      </c>
      <c r="F158" s="3">
        <v>2.1499999999999998E-2</v>
      </c>
    </row>
    <row r="159" spans="1:6" x14ac:dyDescent="0.3">
      <c r="A159" t="s">
        <v>86</v>
      </c>
      <c r="B159" t="s">
        <v>57</v>
      </c>
      <c r="C159" t="s">
        <v>58</v>
      </c>
      <c r="D159" t="str">
        <f>VLOOKUP(B159,Sheet2!A:D,3,FALSE)</f>
        <v>Alternative</v>
      </c>
      <c r="E159" t="str">
        <f>VLOOKUP(B159,Sheet2!A:D,4,FALSE)</f>
        <v>Alternative</v>
      </c>
      <c r="F159" s="3">
        <v>0.02</v>
      </c>
    </row>
    <row r="160" spans="1:6" x14ac:dyDescent="0.3">
      <c r="A160" t="s">
        <v>86</v>
      </c>
      <c r="B160" t="s">
        <v>33</v>
      </c>
      <c r="C160" t="s">
        <v>34</v>
      </c>
      <c r="D160" t="str">
        <f>VLOOKUP(B160,Sheet2!A:D,3,FALSE)</f>
        <v>Equity</v>
      </c>
      <c r="E160" t="str">
        <f>VLOOKUP(B160,Sheet2!A:D,4,FALSE)</f>
        <v>Thematic</v>
      </c>
      <c r="F160" s="3">
        <v>0.02</v>
      </c>
    </row>
    <row r="161" spans="1:6" x14ac:dyDescent="0.3">
      <c r="A161" t="s">
        <v>86</v>
      </c>
      <c r="B161" t="s">
        <v>73</v>
      </c>
      <c r="C161" t="s">
        <v>74</v>
      </c>
      <c r="D161" t="str">
        <f>VLOOKUP(B161,Sheet2!A:D,3,FALSE)</f>
        <v>Fixed Income</v>
      </c>
      <c r="E161" t="str">
        <f>VLOOKUP(B161,Sheet2!A:D,4,FALSE)</f>
        <v>Global Aggregate</v>
      </c>
      <c r="F161" s="3">
        <v>1.95E-2</v>
      </c>
    </row>
    <row r="162" spans="1:6" x14ac:dyDescent="0.3">
      <c r="A162" t="s">
        <v>86</v>
      </c>
      <c r="B162" t="s">
        <v>77</v>
      </c>
      <c r="C162" t="s">
        <v>78</v>
      </c>
      <c r="D162" t="str">
        <f>VLOOKUP(B162,Sheet2!A:D,3,FALSE)</f>
        <v>Fixed Income</v>
      </c>
      <c r="E162" t="str">
        <f>VLOOKUP(B162,Sheet2!A:D,4,FALSE)</f>
        <v>UK Corporate</v>
      </c>
      <c r="F162" s="3">
        <v>1.8200000000000001E-2</v>
      </c>
    </row>
    <row r="163" spans="1:6" x14ac:dyDescent="0.3">
      <c r="A163" t="s">
        <v>86</v>
      </c>
      <c r="B163" t="s">
        <v>75</v>
      </c>
      <c r="C163" t="s">
        <v>76</v>
      </c>
      <c r="D163" t="str">
        <f>VLOOKUP(B163,Sheet2!A:D,3,FALSE)</f>
        <v>Fixed Income</v>
      </c>
      <c r="E163" t="str">
        <f>VLOOKUP(B163,Sheet2!A:D,4,FALSE)</f>
        <v>UK Corporate</v>
      </c>
      <c r="F163" s="3">
        <v>1.7899999999999999E-2</v>
      </c>
    </row>
    <row r="164" spans="1:6" x14ac:dyDescent="0.3">
      <c r="A164" t="s">
        <v>86</v>
      </c>
      <c r="B164" t="s">
        <v>45</v>
      </c>
      <c r="C164" t="s">
        <v>46</v>
      </c>
      <c r="D164" t="str">
        <f>VLOOKUP(B164,Sheet2!A:D,3,FALSE)</f>
        <v>Equity</v>
      </c>
      <c r="E164" t="str">
        <f>VLOOKUP(B164,Sheet2!A:D,4,FALSE)</f>
        <v>UK</v>
      </c>
      <c r="F164" s="3">
        <v>1.6500000000000001E-2</v>
      </c>
    </row>
    <row r="165" spans="1:6" x14ac:dyDescent="0.3">
      <c r="A165" t="s">
        <v>86</v>
      </c>
      <c r="B165" t="s">
        <v>25</v>
      </c>
      <c r="C165" t="s">
        <v>26</v>
      </c>
      <c r="D165" t="str">
        <f>VLOOKUP(B165,Sheet2!A:D,3,FALSE)</f>
        <v>Equity</v>
      </c>
      <c r="E165" t="str">
        <f>VLOOKUP(B165,Sheet2!A:D,4,FALSE)</f>
        <v>US</v>
      </c>
      <c r="F165" s="3">
        <v>1.47E-2</v>
      </c>
    </row>
    <row r="166" spans="1:6" x14ac:dyDescent="0.3">
      <c r="A166" t="s">
        <v>86</v>
      </c>
      <c r="B166" t="s">
        <v>27</v>
      </c>
      <c r="C166" t="s">
        <v>28</v>
      </c>
      <c r="D166" t="str">
        <f>VLOOKUP(B166,Sheet2!A:D,3,FALSE)</f>
        <v>Equity</v>
      </c>
      <c r="E166" t="str">
        <f>VLOOKUP(B166,Sheet2!A:D,4,FALSE)</f>
        <v>US</v>
      </c>
      <c r="F166" s="3">
        <v>1.41E-2</v>
      </c>
    </row>
    <row r="167" spans="1:6" x14ac:dyDescent="0.3">
      <c r="A167" t="s">
        <v>86</v>
      </c>
      <c r="B167" t="s">
        <v>79</v>
      </c>
      <c r="C167" t="s">
        <v>80</v>
      </c>
      <c r="D167" t="str">
        <f>VLOOKUP(B167,Sheet2!A:D,3,FALSE)</f>
        <v>Fixed Income</v>
      </c>
      <c r="E167" t="str">
        <f>VLOOKUP(B167,Sheet2!A:D,4,FALSE)</f>
        <v>Euro Govt</v>
      </c>
      <c r="F167" s="3">
        <v>1.38E-2</v>
      </c>
    </row>
    <row r="168" spans="1:6" x14ac:dyDescent="0.3">
      <c r="A168" t="s">
        <v>86</v>
      </c>
      <c r="B168" t="s">
        <v>31</v>
      </c>
      <c r="C168" t="s">
        <v>32</v>
      </c>
      <c r="D168" t="str">
        <f>VLOOKUP(B168,Sheet2!A:D,3,FALSE)</f>
        <v>Equity</v>
      </c>
      <c r="E168" t="str">
        <f>VLOOKUP(B168,Sheet2!A:D,4,FALSE)</f>
        <v>US</v>
      </c>
      <c r="F168" s="3">
        <v>1.35E-2</v>
      </c>
    </row>
    <row r="169" spans="1:6" x14ac:dyDescent="0.3">
      <c r="A169" t="s">
        <v>86</v>
      </c>
      <c r="B169" t="s">
        <v>35</v>
      </c>
      <c r="C169" t="s">
        <v>36</v>
      </c>
      <c r="D169" t="str">
        <f>VLOOKUP(B169,Sheet2!A:D,3,FALSE)</f>
        <v>Equity</v>
      </c>
      <c r="E169" t="str">
        <f>VLOOKUP(B169,Sheet2!A:D,4,FALSE)</f>
        <v>Emerging Markets</v>
      </c>
      <c r="F169" s="3">
        <v>1.3100000000000001E-2</v>
      </c>
    </row>
    <row r="170" spans="1:6" x14ac:dyDescent="0.3">
      <c r="A170" s="4" t="s">
        <v>86</v>
      </c>
      <c r="B170" s="4" t="s">
        <v>23</v>
      </c>
      <c r="C170" s="4" t="s">
        <v>24</v>
      </c>
      <c r="D170" t="str">
        <f>VLOOKUP(B170,Sheet2!A:D,3,FALSE)</f>
        <v>Equity</v>
      </c>
      <c r="E170" t="str">
        <f>VLOOKUP(B170,Sheet2!A:D,4,FALSE)</f>
        <v>Asia ex Japan</v>
      </c>
      <c r="F170" s="5">
        <v>1.21E-2</v>
      </c>
    </row>
    <row r="171" spans="1:6" x14ac:dyDescent="0.3">
      <c r="A171" t="s">
        <v>86</v>
      </c>
      <c r="B171" t="s">
        <v>41</v>
      </c>
      <c r="C171" t="s">
        <v>42</v>
      </c>
      <c r="D171" t="str">
        <f>VLOOKUP(B171,Sheet2!A:D,3,FALSE)</f>
        <v>Equity</v>
      </c>
      <c r="E171" t="str">
        <f>VLOOKUP(B171,Sheet2!A:D,4,FALSE)</f>
        <v>Emerging Markets</v>
      </c>
      <c r="F171" s="3">
        <v>1.17E-2</v>
      </c>
    </row>
    <row r="172" spans="1:6" x14ac:dyDescent="0.3">
      <c r="A172" t="s">
        <v>86</v>
      </c>
      <c r="B172" t="s">
        <v>29</v>
      </c>
      <c r="C172" t="s">
        <v>30</v>
      </c>
      <c r="D172" t="str">
        <f>VLOOKUP(B172,Sheet2!A:D,3,FALSE)</f>
        <v>Equity</v>
      </c>
      <c r="E172" t="str">
        <f>VLOOKUP(B172,Sheet2!A:D,4,FALSE)</f>
        <v>Asia ex Japan</v>
      </c>
      <c r="F172" s="3">
        <v>1.1299999999999999E-2</v>
      </c>
    </row>
    <row r="173" spans="1:6" x14ac:dyDescent="0.3">
      <c r="A173" t="s">
        <v>86</v>
      </c>
      <c r="B173" t="s">
        <v>81</v>
      </c>
      <c r="C173" t="s">
        <v>82</v>
      </c>
      <c r="D173" t="str">
        <f>VLOOKUP(B173,Sheet2!A:D,3,FALSE)</f>
        <v>Fixed Income</v>
      </c>
      <c r="E173" t="str">
        <f>VLOOKUP(B173,Sheet2!A:D,4,FALSE)</f>
        <v>UK Govt</v>
      </c>
      <c r="F173" s="3">
        <v>8.8000000000000005E-3</v>
      </c>
    </row>
    <row r="174" spans="1:6" x14ac:dyDescent="0.3">
      <c r="A174" t="s">
        <v>86</v>
      </c>
      <c r="B174" t="s">
        <v>47</v>
      </c>
      <c r="C174" t="s">
        <v>48</v>
      </c>
      <c r="D174" t="str">
        <f>VLOOKUP(B174,Sheet2!A:D,3,FALSE)</f>
        <v>Equity</v>
      </c>
      <c r="E174" t="str">
        <f>VLOOKUP(B174,Sheet2!A:D,4,FALSE)</f>
        <v>Emerging Markets</v>
      </c>
      <c r="F174" s="3">
        <v>8.2000000000000007E-3</v>
      </c>
    </row>
    <row r="175" spans="1:6" x14ac:dyDescent="0.3">
      <c r="A175" t="s">
        <v>86</v>
      </c>
      <c r="B175" t="s">
        <v>49</v>
      </c>
      <c r="C175" t="s">
        <v>50</v>
      </c>
      <c r="D175" t="str">
        <f>VLOOKUP(B175,Sheet2!A:D,3,FALSE)</f>
        <v>Equity</v>
      </c>
      <c r="E175" t="str">
        <f>VLOOKUP(B175,Sheet2!A:D,4,FALSE)</f>
        <v>Thematic</v>
      </c>
      <c r="F175" s="3">
        <v>6.7000000000000002E-3</v>
      </c>
    </row>
    <row r="176" spans="1:6" x14ac:dyDescent="0.3">
      <c r="A176" t="s">
        <v>86</v>
      </c>
      <c r="B176" t="s">
        <v>51</v>
      </c>
      <c r="C176" t="s">
        <v>52</v>
      </c>
      <c r="D176" t="str">
        <f>VLOOKUP(B176,Sheet2!A:D,3,FALSE)</f>
        <v>Equity</v>
      </c>
      <c r="E176" t="str">
        <f>VLOOKUP(B176,Sheet2!A:D,4,FALSE)</f>
        <v>Thematic</v>
      </c>
      <c r="F176" s="3">
        <v>6.0000000000000001E-3</v>
      </c>
    </row>
    <row r="177" spans="1:6" x14ac:dyDescent="0.3">
      <c r="A177" t="s">
        <v>86</v>
      </c>
      <c r="B177" t="s">
        <v>59</v>
      </c>
      <c r="C177" t="s">
        <v>60</v>
      </c>
      <c r="D177" t="str">
        <f>VLOOKUP(B177,Sheet2!A:D,3,FALSE)</f>
        <v>Equity</v>
      </c>
      <c r="E177" t="str">
        <f>VLOOKUP(B177,Sheet2!A:D,4,FALSE)</f>
        <v>Emerging Markets</v>
      </c>
      <c r="F177" s="3">
        <v>3.5000000000000001E-3</v>
      </c>
    </row>
    <row r="178" spans="1:6" x14ac:dyDescent="0.3">
      <c r="A178" t="s">
        <v>86</v>
      </c>
      <c r="B178" t="s">
        <v>55</v>
      </c>
      <c r="C178" t="s">
        <v>56</v>
      </c>
      <c r="D178" t="str">
        <f>VLOOKUP(B178,Sheet2!A:D,3,FALSE)</f>
        <v>Equity</v>
      </c>
      <c r="E178" t="str">
        <f>VLOOKUP(B178,Sheet2!A:D,4,FALSE)</f>
        <v>Asia ex Japan</v>
      </c>
      <c r="F178" s="3">
        <v>2.5999999999999999E-3</v>
      </c>
    </row>
    <row r="179" spans="1:6" x14ac:dyDescent="0.3">
      <c r="A179" t="s">
        <v>87</v>
      </c>
      <c r="B179" t="s">
        <v>84</v>
      </c>
      <c r="C179" t="s">
        <v>85</v>
      </c>
      <c r="D179" t="str">
        <f>VLOOKUP(B179,Sheet2!A:D,3,FALSE)</f>
        <v>Cash</v>
      </c>
      <c r="E179" t="str">
        <f>VLOOKUP(B179,Sheet2!A:D,4,FALSE)</f>
        <v>Cash</v>
      </c>
      <c r="F179" s="3">
        <v>8.0799999999999997E-2</v>
      </c>
    </row>
    <row r="180" spans="1:6" x14ac:dyDescent="0.3">
      <c r="A180" t="s">
        <v>87</v>
      </c>
      <c r="B180" t="s">
        <v>63</v>
      </c>
      <c r="C180" t="s">
        <v>64</v>
      </c>
      <c r="D180" t="str">
        <f>VLOOKUP(B180,Sheet2!A:D,3,FALSE)</f>
        <v>Fixed Income</v>
      </c>
      <c r="E180" t="str">
        <f>VLOOKUP(B180,Sheet2!A:D,4,FALSE)</f>
        <v>Global Govt</v>
      </c>
      <c r="F180" s="3">
        <v>7.2400000000000006E-2</v>
      </c>
    </row>
    <row r="181" spans="1:6" x14ac:dyDescent="0.3">
      <c r="A181" s="4" t="s">
        <v>87</v>
      </c>
      <c r="B181" s="4" t="s">
        <v>37</v>
      </c>
      <c r="C181" s="4" t="s">
        <v>38</v>
      </c>
      <c r="D181" t="str">
        <f>VLOOKUP(B181,Sheet2!A:D,3,FALSE)</f>
        <v>Fixed Income</v>
      </c>
      <c r="E181" t="str">
        <f>VLOOKUP(B181,Sheet2!A:D,4,FALSE)</f>
        <v>Global Aggregate</v>
      </c>
      <c r="F181" s="5">
        <v>6.4500000000000002E-2</v>
      </c>
    </row>
    <row r="182" spans="1:6" x14ac:dyDescent="0.3">
      <c r="A182" t="s">
        <v>87</v>
      </c>
      <c r="B182" t="s">
        <v>65</v>
      </c>
      <c r="C182" t="s">
        <v>66</v>
      </c>
      <c r="D182" t="str">
        <f>VLOOKUP(B182,Sheet2!A:D,3,FALSE)</f>
        <v>Fixed Income</v>
      </c>
      <c r="E182" t="str">
        <f>VLOOKUP(B182,Sheet2!A:D,4,FALSE)</f>
        <v>UK Govt</v>
      </c>
      <c r="F182" s="3">
        <v>6.4000000000000001E-2</v>
      </c>
    </row>
    <row r="183" spans="1:6" x14ac:dyDescent="0.3">
      <c r="A183" t="s">
        <v>87</v>
      </c>
      <c r="B183" t="s">
        <v>39</v>
      </c>
      <c r="C183" t="s">
        <v>40</v>
      </c>
      <c r="D183" t="str">
        <f>VLOOKUP(B183,Sheet2!A:D,3,FALSE)</f>
        <v>Alternative</v>
      </c>
      <c r="E183" t="str">
        <f>VLOOKUP(B183,Sheet2!A:D,4,FALSE)</f>
        <v>Alternative</v>
      </c>
      <c r="F183" s="3">
        <v>6.1199999999999997E-2</v>
      </c>
    </row>
    <row r="184" spans="1:6" x14ac:dyDescent="0.3">
      <c r="A184" t="s">
        <v>87</v>
      </c>
      <c r="B184" t="s">
        <v>43</v>
      </c>
      <c r="C184" t="s">
        <v>44</v>
      </c>
      <c r="D184" t="str">
        <f>VLOOKUP(B184,Sheet2!A:D,3,FALSE)</f>
        <v>Alternative</v>
      </c>
      <c r="E184" t="str">
        <f>VLOOKUP(B184,Sheet2!A:D,4,FALSE)</f>
        <v>Alternative</v>
      </c>
      <c r="F184" s="3">
        <v>5.67E-2</v>
      </c>
    </row>
    <row r="185" spans="1:6" x14ac:dyDescent="0.3">
      <c r="A185" t="s">
        <v>87</v>
      </c>
      <c r="B185" t="s">
        <v>67</v>
      </c>
      <c r="C185" t="s">
        <v>68</v>
      </c>
      <c r="D185" t="str">
        <f>VLOOKUP(B185,Sheet2!A:D,3,FALSE)</f>
        <v>Fixed Income</v>
      </c>
      <c r="E185" t="str">
        <f>VLOOKUP(B185,Sheet2!A:D,4,FALSE)</f>
        <v>Global Corporate</v>
      </c>
      <c r="F185" s="3">
        <v>4.6100000000000002E-2</v>
      </c>
    </row>
    <row r="186" spans="1:6" x14ac:dyDescent="0.3">
      <c r="A186" s="4" t="s">
        <v>87</v>
      </c>
      <c r="B186" s="4" t="s">
        <v>69</v>
      </c>
      <c r="C186" s="4" t="s">
        <v>70</v>
      </c>
      <c r="D186" t="str">
        <f>VLOOKUP(B186,Sheet2!A:D,3,FALSE)</f>
        <v>Fixed Income</v>
      </c>
      <c r="E186" t="str">
        <f>VLOOKUP(B186,Sheet2!A:D,4,FALSE)</f>
        <v>Global Aggregate</v>
      </c>
      <c r="F186" s="5">
        <v>4.0099999999999997E-2</v>
      </c>
    </row>
    <row r="187" spans="1:6" x14ac:dyDescent="0.3">
      <c r="A187" t="s">
        <v>87</v>
      </c>
      <c r="B187" t="s">
        <v>71</v>
      </c>
      <c r="C187" t="s">
        <v>72</v>
      </c>
      <c r="D187" t="str">
        <f>VLOOKUP(B187,Sheet2!A:D,3,FALSE)</f>
        <v>Fixed Income</v>
      </c>
      <c r="E187" t="str">
        <f>VLOOKUP(B187,Sheet2!A:D,4,FALSE)</f>
        <v>Global Aggregate</v>
      </c>
      <c r="F187" s="3">
        <v>3.5200000000000002E-2</v>
      </c>
    </row>
    <row r="188" spans="1:6" x14ac:dyDescent="0.3">
      <c r="A188" t="s">
        <v>87</v>
      </c>
      <c r="B188" t="s">
        <v>3</v>
      </c>
      <c r="C188" t="s">
        <v>4</v>
      </c>
      <c r="D188" t="str">
        <f>VLOOKUP(B188,Sheet2!A:D,3,FALSE)</f>
        <v>Equity</v>
      </c>
      <c r="E188" t="str">
        <f>VLOOKUP(B188,Sheet2!A:D,4,FALSE)</f>
        <v>US</v>
      </c>
      <c r="F188" s="3">
        <v>2.9399999999999999E-2</v>
      </c>
    </row>
    <row r="189" spans="1:6" x14ac:dyDescent="0.3">
      <c r="A189" s="4" t="s">
        <v>87</v>
      </c>
      <c r="B189" s="4" t="s">
        <v>5</v>
      </c>
      <c r="C189" s="4" t="s">
        <v>6</v>
      </c>
      <c r="D189" t="str">
        <f>VLOOKUP(B189,Sheet2!A:D,3,FALSE)</f>
        <v>Equity</v>
      </c>
      <c r="E189" t="str">
        <f>VLOOKUP(B189,Sheet2!A:D,4,FALSE)</f>
        <v>US</v>
      </c>
      <c r="F189" s="5">
        <v>2.9399999999999999E-2</v>
      </c>
    </row>
    <row r="190" spans="1:6" x14ac:dyDescent="0.3">
      <c r="A190" t="s">
        <v>87</v>
      </c>
      <c r="B190" t="s">
        <v>73</v>
      </c>
      <c r="C190" t="s">
        <v>74</v>
      </c>
      <c r="D190" t="str">
        <f>VLOOKUP(B190,Sheet2!A:D,3,FALSE)</f>
        <v>Fixed Income</v>
      </c>
      <c r="E190" t="str">
        <f>VLOOKUP(B190,Sheet2!A:D,4,FALSE)</f>
        <v>Global Aggregate</v>
      </c>
      <c r="F190" s="3">
        <v>2.64E-2</v>
      </c>
    </row>
    <row r="191" spans="1:6" x14ac:dyDescent="0.3">
      <c r="A191" t="s">
        <v>87</v>
      </c>
      <c r="B191" t="s">
        <v>17</v>
      </c>
      <c r="C191" t="s">
        <v>18</v>
      </c>
      <c r="D191" t="str">
        <f>VLOOKUP(B191,Sheet2!A:D,3,FALSE)</f>
        <v>Equity</v>
      </c>
      <c r="E191" t="str">
        <f>VLOOKUP(B191,Sheet2!A:D,4,FALSE)</f>
        <v>UK</v>
      </c>
      <c r="F191" s="3">
        <v>2.5000000000000001E-2</v>
      </c>
    </row>
    <row r="192" spans="1:6" x14ac:dyDescent="0.3">
      <c r="A192" t="s">
        <v>87</v>
      </c>
      <c r="B192" t="s">
        <v>77</v>
      </c>
      <c r="C192" t="s">
        <v>78</v>
      </c>
      <c r="D192" t="str">
        <f>VLOOKUP(B192,Sheet2!A:D,3,FALSE)</f>
        <v>Fixed Income</v>
      </c>
      <c r="E192" t="str">
        <f>VLOOKUP(B192,Sheet2!A:D,4,FALSE)</f>
        <v>UK Corporate</v>
      </c>
      <c r="F192" s="3">
        <v>2.46E-2</v>
      </c>
    </row>
    <row r="193" spans="1:6" x14ac:dyDescent="0.3">
      <c r="A193" t="s">
        <v>87</v>
      </c>
      <c r="B193" t="s">
        <v>75</v>
      </c>
      <c r="C193" t="s">
        <v>76</v>
      </c>
      <c r="D193" t="str">
        <f>VLOOKUP(B193,Sheet2!A:D,3,FALSE)</f>
        <v>Fixed Income</v>
      </c>
      <c r="E193" t="str">
        <f>VLOOKUP(B193,Sheet2!A:D,4,FALSE)</f>
        <v>UK Corporate</v>
      </c>
      <c r="F193" s="3">
        <v>2.4299999999999999E-2</v>
      </c>
    </row>
    <row r="194" spans="1:6" x14ac:dyDescent="0.3">
      <c r="A194" t="s">
        <v>87</v>
      </c>
      <c r="B194" t="s">
        <v>7</v>
      </c>
      <c r="C194" t="s">
        <v>8</v>
      </c>
      <c r="D194" t="str">
        <f>VLOOKUP(B194,Sheet2!A:D,3,FALSE)</f>
        <v>Equity</v>
      </c>
      <c r="E194" t="str">
        <f>VLOOKUP(B194,Sheet2!A:D,4,FALSE)</f>
        <v>Japan</v>
      </c>
      <c r="F194" s="3">
        <v>2.2800000000000001E-2</v>
      </c>
    </row>
    <row r="195" spans="1:6" x14ac:dyDescent="0.3">
      <c r="A195" t="s">
        <v>87</v>
      </c>
      <c r="B195" t="s">
        <v>53</v>
      </c>
      <c r="C195" t="s">
        <v>54</v>
      </c>
      <c r="D195" t="str">
        <f>VLOOKUP(B195,Sheet2!A:D,3,FALSE)</f>
        <v>Alternative</v>
      </c>
      <c r="E195" t="str">
        <f>VLOOKUP(B195,Sheet2!A:D,4,FALSE)</f>
        <v>Alternative</v>
      </c>
      <c r="F195" s="3">
        <v>2.2200000000000001E-2</v>
      </c>
    </row>
    <row r="196" spans="1:6" x14ac:dyDescent="0.3">
      <c r="A196" t="s">
        <v>87</v>
      </c>
      <c r="B196" t="s">
        <v>19</v>
      </c>
      <c r="C196" t="s">
        <v>20</v>
      </c>
      <c r="D196" t="str">
        <f>VLOOKUP(B196,Sheet2!A:D,3,FALSE)</f>
        <v>Equity</v>
      </c>
      <c r="E196" t="str">
        <f>VLOOKUP(B196,Sheet2!A:D,4,FALSE)</f>
        <v>UK</v>
      </c>
      <c r="F196" s="3">
        <v>2.2200000000000001E-2</v>
      </c>
    </row>
    <row r="197" spans="1:6" x14ac:dyDescent="0.3">
      <c r="A197" s="4" t="s">
        <v>87</v>
      </c>
      <c r="B197" s="4" t="s">
        <v>21</v>
      </c>
      <c r="C197" s="4" t="s">
        <v>22</v>
      </c>
      <c r="D197" t="str">
        <f>VLOOKUP(B197,Sheet2!A:D,3,FALSE)</f>
        <v>Equity</v>
      </c>
      <c r="E197" t="str">
        <f>VLOOKUP(B197,Sheet2!A:D,4,FALSE)</f>
        <v>UK</v>
      </c>
      <c r="F197" s="5">
        <v>2.1399999999999999E-2</v>
      </c>
    </row>
    <row r="198" spans="1:6" x14ac:dyDescent="0.3">
      <c r="A198" t="s">
        <v>87</v>
      </c>
      <c r="B198" t="s">
        <v>9</v>
      </c>
      <c r="C198" t="s">
        <v>10</v>
      </c>
      <c r="D198" t="str">
        <f>VLOOKUP(B198,Sheet2!A:D,3,FALSE)</f>
        <v>Equity</v>
      </c>
      <c r="E198" t="str">
        <f>VLOOKUP(B198,Sheet2!A:D,4,FALSE)</f>
        <v>Europe ex UK</v>
      </c>
      <c r="F198" s="3">
        <v>2.1000000000000001E-2</v>
      </c>
    </row>
    <row r="199" spans="1:6" x14ac:dyDescent="0.3">
      <c r="A199" t="s">
        <v>87</v>
      </c>
      <c r="B199" t="s">
        <v>79</v>
      </c>
      <c r="C199" t="s">
        <v>80</v>
      </c>
      <c r="D199" t="str">
        <f>VLOOKUP(B199,Sheet2!A:D,3,FALSE)</f>
        <v>Fixed Income</v>
      </c>
      <c r="E199" t="str">
        <f>VLOOKUP(B199,Sheet2!A:D,4,FALSE)</f>
        <v>Euro Govt</v>
      </c>
      <c r="F199" s="3">
        <v>1.8599999999999998E-2</v>
      </c>
    </row>
    <row r="200" spans="1:6" x14ac:dyDescent="0.3">
      <c r="A200" t="s">
        <v>87</v>
      </c>
      <c r="B200" t="s">
        <v>57</v>
      </c>
      <c r="C200" t="s">
        <v>58</v>
      </c>
      <c r="D200" t="str">
        <f>VLOOKUP(B200,Sheet2!A:D,3,FALSE)</f>
        <v>Alternative</v>
      </c>
      <c r="E200" t="str">
        <f>VLOOKUP(B200,Sheet2!A:D,4,FALSE)</f>
        <v>Alternative</v>
      </c>
      <c r="F200" s="3">
        <v>1.78E-2</v>
      </c>
    </row>
    <row r="201" spans="1:6" x14ac:dyDescent="0.3">
      <c r="A201" t="s">
        <v>87</v>
      </c>
      <c r="B201" t="s">
        <v>11</v>
      </c>
      <c r="C201" t="s">
        <v>12</v>
      </c>
      <c r="D201" t="str">
        <f>VLOOKUP(B201,Sheet2!A:D,3,FALSE)</f>
        <v>Equity</v>
      </c>
      <c r="E201" t="str">
        <f>VLOOKUP(B201,Sheet2!A:D,4,FALSE)</f>
        <v>Global</v>
      </c>
      <c r="F201" s="3">
        <v>1.77E-2</v>
      </c>
    </row>
    <row r="202" spans="1:6" x14ac:dyDescent="0.3">
      <c r="A202" t="s">
        <v>87</v>
      </c>
      <c r="B202" t="s">
        <v>13</v>
      </c>
      <c r="C202" t="s">
        <v>14</v>
      </c>
      <c r="D202" t="str">
        <f>VLOOKUP(B202,Sheet2!A:D,3,FALSE)</f>
        <v>Equity</v>
      </c>
      <c r="E202" t="str">
        <f>VLOOKUP(B202,Sheet2!A:D,4,FALSE)</f>
        <v>Europe ex UK</v>
      </c>
      <c r="F202" s="3">
        <v>1.5699999999999999E-2</v>
      </c>
    </row>
    <row r="203" spans="1:6" x14ac:dyDescent="0.3">
      <c r="A203" t="s">
        <v>87</v>
      </c>
      <c r="B203" t="s">
        <v>15</v>
      </c>
      <c r="C203" t="s">
        <v>16</v>
      </c>
      <c r="D203" t="str">
        <f>VLOOKUP(B203,Sheet2!A:D,3,FALSE)</f>
        <v>Equity</v>
      </c>
      <c r="E203" t="str">
        <f>VLOOKUP(B203,Sheet2!A:D,4,FALSE)</f>
        <v>Europe ex UK</v>
      </c>
      <c r="F203" s="3">
        <v>1.5699999999999999E-2</v>
      </c>
    </row>
    <row r="204" spans="1:6" x14ac:dyDescent="0.3">
      <c r="A204" t="s">
        <v>87</v>
      </c>
      <c r="B204" t="s">
        <v>33</v>
      </c>
      <c r="C204" t="s">
        <v>34</v>
      </c>
      <c r="D204" t="str">
        <f>VLOOKUP(B204,Sheet2!A:D,3,FALSE)</f>
        <v>Equity</v>
      </c>
      <c r="E204" t="str">
        <f>VLOOKUP(B204,Sheet2!A:D,4,FALSE)</f>
        <v>Thematic</v>
      </c>
      <c r="F204" s="3">
        <v>1.46E-2</v>
      </c>
    </row>
    <row r="205" spans="1:6" x14ac:dyDescent="0.3">
      <c r="A205" t="s">
        <v>87</v>
      </c>
      <c r="B205" t="s">
        <v>45</v>
      </c>
      <c r="C205" t="s">
        <v>46</v>
      </c>
      <c r="D205" t="str">
        <f>VLOOKUP(B205,Sheet2!A:D,3,FALSE)</f>
        <v>Equity</v>
      </c>
      <c r="E205" t="str">
        <f>VLOOKUP(B205,Sheet2!A:D,4,FALSE)</f>
        <v>UK</v>
      </c>
      <c r="F205" s="3">
        <v>1.21E-2</v>
      </c>
    </row>
    <row r="206" spans="1:6" x14ac:dyDescent="0.3">
      <c r="A206" t="s">
        <v>87</v>
      </c>
      <c r="B206" t="s">
        <v>81</v>
      </c>
      <c r="C206" t="s">
        <v>82</v>
      </c>
      <c r="D206" t="str">
        <f>VLOOKUP(B206,Sheet2!A:D,3,FALSE)</f>
        <v>Fixed Income</v>
      </c>
      <c r="E206" t="str">
        <f>VLOOKUP(B206,Sheet2!A:D,4,FALSE)</f>
        <v>UK Govt</v>
      </c>
      <c r="F206" s="3">
        <v>1.1900000000000001E-2</v>
      </c>
    </row>
    <row r="207" spans="1:6" x14ac:dyDescent="0.3">
      <c r="A207" t="s">
        <v>87</v>
      </c>
      <c r="B207" t="s">
        <v>25</v>
      </c>
      <c r="C207" t="s">
        <v>26</v>
      </c>
      <c r="D207" t="str">
        <f>VLOOKUP(B207,Sheet2!A:D,3,FALSE)</f>
        <v>Equity</v>
      </c>
      <c r="E207" t="str">
        <f>VLOOKUP(B207,Sheet2!A:D,4,FALSE)</f>
        <v>US</v>
      </c>
      <c r="F207" s="3">
        <v>1.0800000000000001E-2</v>
      </c>
    </row>
    <row r="208" spans="1:6" x14ac:dyDescent="0.3">
      <c r="A208" t="s">
        <v>87</v>
      </c>
      <c r="B208" t="s">
        <v>27</v>
      </c>
      <c r="C208" t="s">
        <v>28</v>
      </c>
      <c r="D208" t="str">
        <f>VLOOKUP(B208,Sheet2!A:D,3,FALSE)</f>
        <v>Equity</v>
      </c>
      <c r="E208" t="str">
        <f>VLOOKUP(B208,Sheet2!A:D,4,FALSE)</f>
        <v>US</v>
      </c>
      <c r="F208" s="3">
        <v>1.03E-2</v>
      </c>
    </row>
    <row r="209" spans="1:6" x14ac:dyDescent="0.3">
      <c r="A209" t="s">
        <v>87</v>
      </c>
      <c r="B209" t="s">
        <v>31</v>
      </c>
      <c r="C209" t="s">
        <v>32</v>
      </c>
      <c r="D209" t="str">
        <f>VLOOKUP(B209,Sheet2!A:D,3,FALSE)</f>
        <v>Equity</v>
      </c>
      <c r="E209" t="str">
        <f>VLOOKUP(B209,Sheet2!A:D,4,FALSE)</f>
        <v>US</v>
      </c>
      <c r="F209" s="3">
        <v>9.9000000000000008E-3</v>
      </c>
    </row>
    <row r="210" spans="1:6" x14ac:dyDescent="0.3">
      <c r="A210" t="s">
        <v>87</v>
      </c>
      <c r="B210" t="s">
        <v>35</v>
      </c>
      <c r="C210" t="s">
        <v>36</v>
      </c>
      <c r="D210" t="str">
        <f>VLOOKUP(B210,Sheet2!A:D,3,FALSE)</f>
        <v>Equity</v>
      </c>
      <c r="E210" t="str">
        <f>VLOOKUP(B210,Sheet2!A:D,4,FALSE)</f>
        <v>Emerging Markets</v>
      </c>
      <c r="F210" s="3">
        <v>9.7000000000000003E-3</v>
      </c>
    </row>
    <row r="211" spans="1:6" x14ac:dyDescent="0.3">
      <c r="A211" t="s">
        <v>87</v>
      </c>
      <c r="B211" t="s">
        <v>23</v>
      </c>
      <c r="C211" t="s">
        <v>24</v>
      </c>
      <c r="D211" t="str">
        <f>VLOOKUP(B211,Sheet2!A:D,3,FALSE)</f>
        <v>Equity</v>
      </c>
      <c r="E211" t="str">
        <f>VLOOKUP(B211,Sheet2!A:D,4,FALSE)</f>
        <v>Asia ex Japan</v>
      </c>
      <c r="F211" s="3">
        <v>8.8000000000000005E-3</v>
      </c>
    </row>
    <row r="212" spans="1:6" x14ac:dyDescent="0.3">
      <c r="A212" t="s">
        <v>87</v>
      </c>
      <c r="B212" t="s">
        <v>41</v>
      </c>
      <c r="C212" t="s">
        <v>42</v>
      </c>
      <c r="D212" t="str">
        <f>VLOOKUP(B212,Sheet2!A:D,3,FALSE)</f>
        <v>Equity</v>
      </c>
      <c r="E212" t="str">
        <f>VLOOKUP(B212,Sheet2!A:D,4,FALSE)</f>
        <v>Emerging Markets</v>
      </c>
      <c r="F212" s="3">
        <v>8.6E-3</v>
      </c>
    </row>
    <row r="213" spans="1:6" x14ac:dyDescent="0.3">
      <c r="A213" t="s">
        <v>87</v>
      </c>
      <c r="B213" t="s">
        <v>29</v>
      </c>
      <c r="C213" t="s">
        <v>30</v>
      </c>
      <c r="D213" t="str">
        <f>VLOOKUP(B213,Sheet2!A:D,3,FALSE)</f>
        <v>Equity</v>
      </c>
      <c r="E213" t="str">
        <f>VLOOKUP(B213,Sheet2!A:D,4,FALSE)</f>
        <v>Asia ex Japan</v>
      </c>
      <c r="F213" s="3">
        <v>8.2000000000000007E-3</v>
      </c>
    </row>
    <row r="214" spans="1:6" x14ac:dyDescent="0.3">
      <c r="A214" t="s">
        <v>87</v>
      </c>
      <c r="B214" t="s">
        <v>47</v>
      </c>
      <c r="C214" t="s">
        <v>48</v>
      </c>
      <c r="D214" t="str">
        <f>VLOOKUP(B214,Sheet2!A:D,3,FALSE)</f>
        <v>Equity</v>
      </c>
      <c r="E214" t="str">
        <f>VLOOKUP(B214,Sheet2!A:D,4,FALSE)</f>
        <v>Emerging Markets</v>
      </c>
      <c r="F214" s="3">
        <v>6.1000000000000004E-3</v>
      </c>
    </row>
    <row r="215" spans="1:6" x14ac:dyDescent="0.3">
      <c r="A215" t="s">
        <v>87</v>
      </c>
      <c r="B215" t="s">
        <v>49</v>
      </c>
      <c r="C215" t="s">
        <v>50</v>
      </c>
      <c r="D215" t="str">
        <f>VLOOKUP(B215,Sheet2!A:D,3,FALSE)</f>
        <v>Equity</v>
      </c>
      <c r="E215" t="str">
        <f>VLOOKUP(B215,Sheet2!A:D,4,FALSE)</f>
        <v>Thematic</v>
      </c>
      <c r="F215" s="3">
        <v>4.8999999999999998E-3</v>
      </c>
    </row>
    <row r="216" spans="1:6" x14ac:dyDescent="0.3">
      <c r="A216" t="s">
        <v>87</v>
      </c>
      <c r="B216" t="s">
        <v>51</v>
      </c>
      <c r="C216" t="s">
        <v>52</v>
      </c>
      <c r="D216" t="str">
        <f>VLOOKUP(B216,Sheet2!A:D,3,FALSE)</f>
        <v>Equity</v>
      </c>
      <c r="E216" t="str">
        <f>VLOOKUP(B216,Sheet2!A:D,4,FALSE)</f>
        <v>Thematic</v>
      </c>
      <c r="F216" s="3">
        <v>4.4000000000000003E-3</v>
      </c>
    </row>
    <row r="217" spans="1:6" x14ac:dyDescent="0.3">
      <c r="A217" s="4" t="s">
        <v>87</v>
      </c>
      <c r="B217" s="4" t="s">
        <v>59</v>
      </c>
      <c r="C217" s="4" t="s">
        <v>60</v>
      </c>
      <c r="D217" t="str">
        <f>VLOOKUP(B217,Sheet2!A:D,3,FALSE)</f>
        <v>Equity</v>
      </c>
      <c r="E217" t="str">
        <f>VLOOKUP(B217,Sheet2!A:D,4,FALSE)</f>
        <v>Emerging Markets</v>
      </c>
      <c r="F217" s="5">
        <v>2.5999999999999999E-3</v>
      </c>
    </row>
    <row r="218" spans="1:6" x14ac:dyDescent="0.3">
      <c r="A218" t="s">
        <v>87</v>
      </c>
      <c r="B218" t="s">
        <v>55</v>
      </c>
      <c r="C218" t="s">
        <v>56</v>
      </c>
      <c r="D218" t="str">
        <f>VLOOKUP(B218,Sheet2!A:D,3,FALSE)</f>
        <v>Equity</v>
      </c>
      <c r="E218" t="str">
        <f>VLOOKUP(B218,Sheet2!A:D,4,FALSE)</f>
        <v>Asia ex Japan</v>
      </c>
      <c r="F218" s="3">
        <v>1.9E-3</v>
      </c>
    </row>
    <row r="219" spans="1:6" x14ac:dyDescent="0.3">
      <c r="A219" t="s">
        <v>88</v>
      </c>
      <c r="B219" t="s">
        <v>84</v>
      </c>
      <c r="C219" t="s">
        <v>85</v>
      </c>
      <c r="D219" t="str">
        <f>VLOOKUP(B219,Sheet2!A:D,3,FALSE)</f>
        <v>Cash</v>
      </c>
      <c r="E219" t="str">
        <f>VLOOKUP(B219,Sheet2!A:D,4,FALSE)</f>
        <v>Cash</v>
      </c>
      <c r="F219" s="3">
        <v>0.1313</v>
      </c>
    </row>
    <row r="220" spans="1:6" x14ac:dyDescent="0.3">
      <c r="A220" t="s">
        <v>88</v>
      </c>
      <c r="B220" t="s">
        <v>63</v>
      </c>
      <c r="C220" t="s">
        <v>64</v>
      </c>
      <c r="D220" t="str">
        <f>VLOOKUP(B220,Sheet2!A:D,3,FALSE)</f>
        <v>Fixed Income</v>
      </c>
      <c r="E220" t="str">
        <f>VLOOKUP(B220,Sheet2!A:D,4,FALSE)</f>
        <v>Global Govt</v>
      </c>
      <c r="F220" s="3">
        <v>9.1899999999999996E-2</v>
      </c>
    </row>
    <row r="221" spans="1:6" x14ac:dyDescent="0.3">
      <c r="A221" t="s">
        <v>88</v>
      </c>
      <c r="B221" t="s">
        <v>65</v>
      </c>
      <c r="C221" t="s">
        <v>66</v>
      </c>
      <c r="D221" t="str">
        <f>VLOOKUP(B221,Sheet2!A:D,3,FALSE)</f>
        <v>Fixed Income</v>
      </c>
      <c r="E221" t="str">
        <f>VLOOKUP(B221,Sheet2!A:D,4,FALSE)</f>
        <v>UK Govt</v>
      </c>
      <c r="F221" s="3">
        <v>8.1100000000000005E-2</v>
      </c>
    </row>
    <row r="222" spans="1:6" x14ac:dyDescent="0.3">
      <c r="A222" t="s">
        <v>88</v>
      </c>
      <c r="B222" t="s">
        <v>37</v>
      </c>
      <c r="C222" t="s">
        <v>38</v>
      </c>
      <c r="D222" t="str">
        <f>VLOOKUP(B222,Sheet2!A:D,3,FALSE)</f>
        <v>Fixed Income</v>
      </c>
      <c r="E222" t="str">
        <f>VLOOKUP(B222,Sheet2!A:D,4,FALSE)</f>
        <v>Global Aggregate</v>
      </c>
      <c r="F222" s="3">
        <v>5.9200000000000003E-2</v>
      </c>
    </row>
    <row r="223" spans="1:6" x14ac:dyDescent="0.3">
      <c r="A223" t="s">
        <v>88</v>
      </c>
      <c r="B223" t="s">
        <v>67</v>
      </c>
      <c r="C223" t="s">
        <v>68</v>
      </c>
      <c r="D223" t="str">
        <f>VLOOKUP(B223,Sheet2!A:D,3,FALSE)</f>
        <v>Fixed Income</v>
      </c>
      <c r="E223" t="str">
        <f>VLOOKUP(B223,Sheet2!A:D,4,FALSE)</f>
        <v>Global Corporate</v>
      </c>
      <c r="F223" s="3">
        <v>5.8400000000000001E-2</v>
      </c>
    </row>
    <row r="224" spans="1:6" x14ac:dyDescent="0.3">
      <c r="A224" t="s">
        <v>88</v>
      </c>
      <c r="B224" t="s">
        <v>39</v>
      </c>
      <c r="C224" t="s">
        <v>40</v>
      </c>
      <c r="D224" t="str">
        <f>VLOOKUP(B224,Sheet2!A:D,3,FALSE)</f>
        <v>Alternative</v>
      </c>
      <c r="E224" t="str">
        <f>VLOOKUP(B224,Sheet2!A:D,4,FALSE)</f>
        <v>Alternative</v>
      </c>
      <c r="F224" s="3">
        <v>5.6099999999999997E-2</v>
      </c>
    </row>
    <row r="225" spans="1:6" x14ac:dyDescent="0.3">
      <c r="A225" s="4" t="s">
        <v>88</v>
      </c>
      <c r="B225" s="4" t="s">
        <v>43</v>
      </c>
      <c r="C225" s="4" t="s">
        <v>44</v>
      </c>
      <c r="D225" t="str">
        <f>VLOOKUP(B225,Sheet2!A:D,3,FALSE)</f>
        <v>Alternative</v>
      </c>
      <c r="E225" t="str">
        <f>VLOOKUP(B225,Sheet2!A:D,4,FALSE)</f>
        <v>Alternative</v>
      </c>
      <c r="F225" s="5">
        <v>5.1999999999999998E-2</v>
      </c>
    </row>
    <row r="226" spans="1:6" x14ac:dyDescent="0.3">
      <c r="A226" t="s">
        <v>88</v>
      </c>
      <c r="B226" t="s">
        <v>69</v>
      </c>
      <c r="C226" t="s">
        <v>70</v>
      </c>
      <c r="D226" t="str">
        <f>VLOOKUP(B226,Sheet2!A:D,3,FALSE)</f>
        <v>Fixed Income</v>
      </c>
      <c r="E226" t="str">
        <f>VLOOKUP(B226,Sheet2!A:D,4,FALSE)</f>
        <v>Global Aggregate</v>
      </c>
      <c r="F226" s="3">
        <v>5.0799999999999998E-2</v>
      </c>
    </row>
    <row r="227" spans="1:6" x14ac:dyDescent="0.3">
      <c r="A227" s="4" t="s">
        <v>88</v>
      </c>
      <c r="B227" s="4" t="s">
        <v>71</v>
      </c>
      <c r="C227" s="4" t="s">
        <v>72</v>
      </c>
      <c r="D227" t="str">
        <f>VLOOKUP(B227,Sheet2!A:D,3,FALSE)</f>
        <v>Fixed Income</v>
      </c>
      <c r="E227" t="str">
        <f>VLOOKUP(B227,Sheet2!A:D,4,FALSE)</f>
        <v>Global Aggregate</v>
      </c>
      <c r="F227" s="5">
        <v>4.4499999999999998E-2</v>
      </c>
    </row>
    <row r="228" spans="1:6" x14ac:dyDescent="0.3">
      <c r="A228" t="s">
        <v>88</v>
      </c>
      <c r="B228" t="s">
        <v>73</v>
      </c>
      <c r="C228" t="s">
        <v>74</v>
      </c>
      <c r="D228" t="str">
        <f>VLOOKUP(B228,Sheet2!A:D,3,FALSE)</f>
        <v>Fixed Income</v>
      </c>
      <c r="E228" t="str">
        <f>VLOOKUP(B228,Sheet2!A:D,4,FALSE)</f>
        <v>Global Aggregate</v>
      </c>
      <c r="F228" s="3">
        <v>3.3399999999999999E-2</v>
      </c>
    </row>
    <row r="229" spans="1:6" x14ac:dyDescent="0.3">
      <c r="A229" t="s">
        <v>88</v>
      </c>
      <c r="B229" t="s">
        <v>77</v>
      </c>
      <c r="C229" t="s">
        <v>78</v>
      </c>
      <c r="D229" t="str">
        <f>VLOOKUP(B229,Sheet2!A:D,3,FALSE)</f>
        <v>Fixed Income</v>
      </c>
      <c r="E229" t="str">
        <f>VLOOKUP(B229,Sheet2!A:D,4,FALSE)</f>
        <v>UK Corporate</v>
      </c>
      <c r="F229" s="3">
        <v>3.1199999999999999E-2</v>
      </c>
    </row>
    <row r="230" spans="1:6" x14ac:dyDescent="0.3">
      <c r="A230" t="s">
        <v>88</v>
      </c>
      <c r="B230" t="s">
        <v>75</v>
      </c>
      <c r="C230" t="s">
        <v>76</v>
      </c>
      <c r="D230" t="str">
        <f>VLOOKUP(B230,Sheet2!A:D,3,FALSE)</f>
        <v>Fixed Income</v>
      </c>
      <c r="E230" t="str">
        <f>VLOOKUP(B230,Sheet2!A:D,4,FALSE)</f>
        <v>UK Corporate</v>
      </c>
      <c r="F230" s="3">
        <v>3.0800000000000001E-2</v>
      </c>
    </row>
    <row r="231" spans="1:6" x14ac:dyDescent="0.3">
      <c r="A231" t="s">
        <v>88</v>
      </c>
      <c r="B231" t="s">
        <v>79</v>
      </c>
      <c r="C231" t="s">
        <v>80</v>
      </c>
      <c r="D231" t="str">
        <f>VLOOKUP(B231,Sheet2!A:D,3,FALSE)</f>
        <v>Fixed Income</v>
      </c>
      <c r="E231" t="str">
        <f>VLOOKUP(B231,Sheet2!A:D,4,FALSE)</f>
        <v>Euro Govt</v>
      </c>
      <c r="F231" s="3">
        <v>2.3599999999999999E-2</v>
      </c>
    </row>
    <row r="232" spans="1:6" x14ac:dyDescent="0.3">
      <c r="A232" t="s">
        <v>88</v>
      </c>
      <c r="B232" t="s">
        <v>53</v>
      </c>
      <c r="C232" t="s">
        <v>54</v>
      </c>
      <c r="D232" t="str">
        <f>VLOOKUP(B232,Sheet2!A:D,3,FALSE)</f>
        <v>Alternative</v>
      </c>
      <c r="E232" t="str">
        <f>VLOOKUP(B232,Sheet2!A:D,4,FALSE)</f>
        <v>Alternative</v>
      </c>
      <c r="F232" s="3">
        <v>2.0400000000000001E-2</v>
      </c>
    </row>
    <row r="233" spans="1:6" x14ac:dyDescent="0.3">
      <c r="A233" s="4" t="s">
        <v>88</v>
      </c>
      <c r="B233" s="4" t="s">
        <v>3</v>
      </c>
      <c r="C233" s="4" t="s">
        <v>4</v>
      </c>
      <c r="D233" t="str">
        <f>VLOOKUP(B233,Sheet2!A:D,3,FALSE)</f>
        <v>Equity</v>
      </c>
      <c r="E233" t="str">
        <f>VLOOKUP(B233,Sheet2!A:D,4,FALSE)</f>
        <v>US</v>
      </c>
      <c r="F233" s="5">
        <v>1.7999999999999999E-2</v>
      </c>
    </row>
    <row r="234" spans="1:6" x14ac:dyDescent="0.3">
      <c r="A234" t="s">
        <v>88</v>
      </c>
      <c r="B234" t="s">
        <v>5</v>
      </c>
      <c r="C234" t="s">
        <v>6</v>
      </c>
      <c r="D234" t="str">
        <f>VLOOKUP(B234,Sheet2!A:D,3,FALSE)</f>
        <v>Equity</v>
      </c>
      <c r="E234" t="str">
        <f>VLOOKUP(B234,Sheet2!A:D,4,FALSE)</f>
        <v>US</v>
      </c>
      <c r="F234" s="3">
        <v>1.7999999999999999E-2</v>
      </c>
    </row>
    <row r="235" spans="1:6" x14ac:dyDescent="0.3">
      <c r="A235" t="s">
        <v>88</v>
      </c>
      <c r="B235" t="s">
        <v>57</v>
      </c>
      <c r="C235" t="s">
        <v>58</v>
      </c>
      <c r="D235" t="str">
        <f>VLOOKUP(B235,Sheet2!A:D,3,FALSE)</f>
        <v>Alternative</v>
      </c>
      <c r="E235" t="str">
        <f>VLOOKUP(B235,Sheet2!A:D,4,FALSE)</f>
        <v>Alternative</v>
      </c>
      <c r="F235" s="3">
        <v>1.6299999999999999E-2</v>
      </c>
    </row>
    <row r="236" spans="1:6" x14ac:dyDescent="0.3">
      <c r="A236" t="s">
        <v>88</v>
      </c>
      <c r="B236" t="s">
        <v>17</v>
      </c>
      <c r="C236" t="s">
        <v>18</v>
      </c>
      <c r="D236" t="str">
        <f>VLOOKUP(B236,Sheet2!A:D,3,FALSE)</f>
        <v>Equity</v>
      </c>
      <c r="E236" t="str">
        <f>VLOOKUP(B236,Sheet2!A:D,4,FALSE)</f>
        <v>UK</v>
      </c>
      <c r="F236" s="3">
        <v>1.5299999999999999E-2</v>
      </c>
    </row>
    <row r="237" spans="1:6" x14ac:dyDescent="0.3">
      <c r="A237" t="s">
        <v>88</v>
      </c>
      <c r="B237" t="s">
        <v>81</v>
      </c>
      <c r="C237" t="s">
        <v>82</v>
      </c>
      <c r="D237" t="str">
        <f>VLOOKUP(B237,Sheet2!A:D,3,FALSE)</f>
        <v>Fixed Income</v>
      </c>
      <c r="E237" t="str">
        <f>VLOOKUP(B237,Sheet2!A:D,4,FALSE)</f>
        <v>UK Govt</v>
      </c>
      <c r="F237" s="3">
        <v>1.4999999999999999E-2</v>
      </c>
    </row>
    <row r="238" spans="1:6" x14ac:dyDescent="0.3">
      <c r="A238" t="s">
        <v>88</v>
      </c>
      <c r="B238" t="s">
        <v>7</v>
      </c>
      <c r="C238" t="s">
        <v>8</v>
      </c>
      <c r="D238" t="str">
        <f>VLOOKUP(B238,Sheet2!A:D,3,FALSE)</f>
        <v>Equity</v>
      </c>
      <c r="E238" t="str">
        <f>VLOOKUP(B238,Sheet2!A:D,4,FALSE)</f>
        <v>Japan</v>
      </c>
      <c r="F238" s="3">
        <v>1.4E-2</v>
      </c>
    </row>
    <row r="239" spans="1:6" x14ac:dyDescent="0.3">
      <c r="A239" t="s">
        <v>88</v>
      </c>
      <c r="B239" t="s">
        <v>19</v>
      </c>
      <c r="C239" t="s">
        <v>20</v>
      </c>
      <c r="D239" t="str">
        <f>VLOOKUP(B239,Sheet2!A:D,3,FALSE)</f>
        <v>Equity</v>
      </c>
      <c r="E239" t="str">
        <f>VLOOKUP(B239,Sheet2!A:D,4,FALSE)</f>
        <v>UK</v>
      </c>
      <c r="F239" s="3">
        <v>1.3599999999999999E-2</v>
      </c>
    </row>
    <row r="240" spans="1:6" x14ac:dyDescent="0.3">
      <c r="A240" t="s">
        <v>88</v>
      </c>
      <c r="B240" t="s">
        <v>21</v>
      </c>
      <c r="C240" t="s">
        <v>22</v>
      </c>
      <c r="D240" t="str">
        <f>VLOOKUP(B240,Sheet2!A:D,3,FALSE)</f>
        <v>Equity</v>
      </c>
      <c r="E240" t="str">
        <f>VLOOKUP(B240,Sheet2!A:D,4,FALSE)</f>
        <v>UK</v>
      </c>
      <c r="F240" s="3">
        <v>1.3100000000000001E-2</v>
      </c>
    </row>
    <row r="241" spans="1:6" x14ac:dyDescent="0.3">
      <c r="A241" t="s">
        <v>88</v>
      </c>
      <c r="B241" t="s">
        <v>9</v>
      </c>
      <c r="C241" t="s">
        <v>10</v>
      </c>
      <c r="D241" t="str">
        <f>VLOOKUP(B241,Sheet2!A:D,3,FALSE)</f>
        <v>Equity</v>
      </c>
      <c r="E241" t="str">
        <f>VLOOKUP(B241,Sheet2!A:D,4,FALSE)</f>
        <v>Europe ex UK</v>
      </c>
      <c r="F241" s="3">
        <v>1.29E-2</v>
      </c>
    </row>
    <row r="242" spans="1:6" x14ac:dyDescent="0.3">
      <c r="A242" t="s">
        <v>88</v>
      </c>
      <c r="B242" t="s">
        <v>11</v>
      </c>
      <c r="C242" t="s">
        <v>12</v>
      </c>
      <c r="D242" t="str">
        <f>VLOOKUP(B242,Sheet2!A:D,3,FALSE)</f>
        <v>Equity</v>
      </c>
      <c r="E242" t="str">
        <f>VLOOKUP(B242,Sheet2!A:D,4,FALSE)</f>
        <v>Global</v>
      </c>
      <c r="F242" s="3">
        <v>1.0800000000000001E-2</v>
      </c>
    </row>
    <row r="243" spans="1:6" x14ac:dyDescent="0.3">
      <c r="A243" t="s">
        <v>88</v>
      </c>
      <c r="B243" t="s">
        <v>13</v>
      </c>
      <c r="C243" t="s">
        <v>14</v>
      </c>
      <c r="D243" t="str">
        <f>VLOOKUP(B243,Sheet2!A:D,3,FALSE)</f>
        <v>Equity</v>
      </c>
      <c r="E243" t="str">
        <f>VLOOKUP(B243,Sheet2!A:D,4,FALSE)</f>
        <v>Europe ex UK</v>
      </c>
      <c r="F243" s="3">
        <v>9.5999999999999992E-3</v>
      </c>
    </row>
    <row r="244" spans="1:6" x14ac:dyDescent="0.3">
      <c r="A244" t="s">
        <v>88</v>
      </c>
      <c r="B244" t="s">
        <v>15</v>
      </c>
      <c r="C244" t="s">
        <v>16</v>
      </c>
      <c r="D244" t="str">
        <f>VLOOKUP(B244,Sheet2!A:D,3,FALSE)</f>
        <v>Equity</v>
      </c>
      <c r="E244" t="str">
        <f>VLOOKUP(B244,Sheet2!A:D,4,FALSE)</f>
        <v>Europe ex UK</v>
      </c>
      <c r="F244" s="3">
        <v>9.5999999999999992E-3</v>
      </c>
    </row>
    <row r="245" spans="1:6" x14ac:dyDescent="0.3">
      <c r="A245" t="s">
        <v>88</v>
      </c>
      <c r="B245" t="s">
        <v>33</v>
      </c>
      <c r="C245" t="s">
        <v>34</v>
      </c>
      <c r="D245" t="str">
        <f>VLOOKUP(B245,Sheet2!A:D,3,FALSE)</f>
        <v>Equity</v>
      </c>
      <c r="E245" t="str">
        <f>VLOOKUP(B245,Sheet2!A:D,4,FALSE)</f>
        <v>Thematic</v>
      </c>
      <c r="F245" s="3">
        <v>8.9999999999999993E-3</v>
      </c>
    </row>
    <row r="246" spans="1:6" x14ac:dyDescent="0.3">
      <c r="A246" t="s">
        <v>88</v>
      </c>
      <c r="B246" t="s">
        <v>45</v>
      </c>
      <c r="C246" t="s">
        <v>46</v>
      </c>
      <c r="D246" t="str">
        <f>VLOOKUP(B246,Sheet2!A:D,3,FALSE)</f>
        <v>Equity</v>
      </c>
      <c r="E246" t="str">
        <f>VLOOKUP(B246,Sheet2!A:D,4,FALSE)</f>
        <v>UK</v>
      </c>
      <c r="F246" s="3">
        <v>7.4000000000000003E-3</v>
      </c>
    </row>
    <row r="247" spans="1:6" x14ac:dyDescent="0.3">
      <c r="A247" t="s">
        <v>88</v>
      </c>
      <c r="B247" t="s">
        <v>25</v>
      </c>
      <c r="C247" t="s">
        <v>26</v>
      </c>
      <c r="D247" t="str">
        <f>VLOOKUP(B247,Sheet2!A:D,3,FALSE)</f>
        <v>Equity</v>
      </c>
      <c r="E247" t="str">
        <f>VLOOKUP(B247,Sheet2!A:D,4,FALSE)</f>
        <v>US</v>
      </c>
      <c r="F247" s="3">
        <v>6.6E-3</v>
      </c>
    </row>
    <row r="248" spans="1:6" x14ac:dyDescent="0.3">
      <c r="A248" t="s">
        <v>88</v>
      </c>
      <c r="B248" t="s">
        <v>27</v>
      </c>
      <c r="C248" t="s">
        <v>28</v>
      </c>
      <c r="D248" t="str">
        <f>VLOOKUP(B248,Sheet2!A:D,3,FALSE)</f>
        <v>Equity</v>
      </c>
      <c r="E248" t="str">
        <f>VLOOKUP(B248,Sheet2!A:D,4,FALSE)</f>
        <v>US</v>
      </c>
      <c r="F248" s="3">
        <v>6.3E-3</v>
      </c>
    </row>
    <row r="249" spans="1:6" x14ac:dyDescent="0.3">
      <c r="A249" t="s">
        <v>88</v>
      </c>
      <c r="B249" t="s">
        <v>31</v>
      </c>
      <c r="C249" t="s">
        <v>32</v>
      </c>
      <c r="D249" t="str">
        <f>VLOOKUP(B249,Sheet2!A:D,3,FALSE)</f>
        <v>Equity</v>
      </c>
      <c r="E249" t="str">
        <f>VLOOKUP(B249,Sheet2!A:D,4,FALSE)</f>
        <v>US</v>
      </c>
      <c r="F249" s="3">
        <v>6.1000000000000004E-3</v>
      </c>
    </row>
    <row r="250" spans="1:6" x14ac:dyDescent="0.3">
      <c r="A250" t="s">
        <v>88</v>
      </c>
      <c r="B250" t="s">
        <v>35</v>
      </c>
      <c r="C250" t="s">
        <v>36</v>
      </c>
      <c r="D250" t="str">
        <f>VLOOKUP(B250,Sheet2!A:D,3,FALSE)</f>
        <v>Equity</v>
      </c>
      <c r="E250" t="str">
        <f>VLOOKUP(B250,Sheet2!A:D,4,FALSE)</f>
        <v>Emerging Markets</v>
      </c>
      <c r="F250" s="3">
        <v>5.8999999999999999E-3</v>
      </c>
    </row>
    <row r="251" spans="1:6" x14ac:dyDescent="0.3">
      <c r="A251" t="s">
        <v>88</v>
      </c>
      <c r="B251" t="s">
        <v>23</v>
      </c>
      <c r="C251" t="s">
        <v>24</v>
      </c>
      <c r="D251" t="str">
        <f>VLOOKUP(B251,Sheet2!A:D,3,FALSE)</f>
        <v>Equity</v>
      </c>
      <c r="E251" t="str">
        <f>VLOOKUP(B251,Sheet2!A:D,4,FALSE)</f>
        <v>Asia ex Japan</v>
      </c>
      <c r="F251" s="3">
        <v>5.3E-3</v>
      </c>
    </row>
    <row r="252" spans="1:6" x14ac:dyDescent="0.3">
      <c r="A252" t="s">
        <v>88</v>
      </c>
      <c r="B252" t="s">
        <v>41</v>
      </c>
      <c r="C252" t="s">
        <v>42</v>
      </c>
      <c r="D252" t="str">
        <f>VLOOKUP(B252,Sheet2!A:D,3,FALSE)</f>
        <v>Equity</v>
      </c>
      <c r="E252" t="str">
        <f>VLOOKUP(B252,Sheet2!A:D,4,FALSE)</f>
        <v>Emerging Markets</v>
      </c>
      <c r="F252" s="3">
        <v>5.3E-3</v>
      </c>
    </row>
    <row r="253" spans="1:6" x14ac:dyDescent="0.3">
      <c r="A253" t="s">
        <v>88</v>
      </c>
      <c r="B253" t="s">
        <v>29</v>
      </c>
      <c r="C253" t="s">
        <v>30</v>
      </c>
      <c r="D253" t="str">
        <f>VLOOKUP(B253,Sheet2!A:D,3,FALSE)</f>
        <v>Equity</v>
      </c>
      <c r="E253" t="str">
        <f>VLOOKUP(B253,Sheet2!A:D,4,FALSE)</f>
        <v>Asia ex Japan</v>
      </c>
      <c r="F253" s="3">
        <v>5.0000000000000001E-3</v>
      </c>
    </row>
    <row r="254" spans="1:6" x14ac:dyDescent="0.3">
      <c r="A254" t="s">
        <v>88</v>
      </c>
      <c r="B254" t="s">
        <v>47</v>
      </c>
      <c r="C254" t="s">
        <v>48</v>
      </c>
      <c r="D254" t="str">
        <f>VLOOKUP(B254,Sheet2!A:D,3,FALSE)</f>
        <v>Equity</v>
      </c>
      <c r="E254" t="str">
        <f>VLOOKUP(B254,Sheet2!A:D,4,FALSE)</f>
        <v>Emerging Markets</v>
      </c>
      <c r="F254" s="3">
        <v>3.7000000000000002E-3</v>
      </c>
    </row>
    <row r="255" spans="1:6" x14ac:dyDescent="0.3">
      <c r="A255" t="s">
        <v>88</v>
      </c>
      <c r="B255" t="s">
        <v>49</v>
      </c>
      <c r="C255" t="s">
        <v>50</v>
      </c>
      <c r="D255" t="str">
        <f>VLOOKUP(B255,Sheet2!A:D,3,FALSE)</f>
        <v>Equity</v>
      </c>
      <c r="E255" t="str">
        <f>VLOOKUP(B255,Sheet2!A:D,4,FALSE)</f>
        <v>Thematic</v>
      </c>
      <c r="F255" s="3">
        <v>3.0000000000000001E-3</v>
      </c>
    </row>
    <row r="256" spans="1:6" x14ac:dyDescent="0.3">
      <c r="A256" t="s">
        <v>88</v>
      </c>
      <c r="B256" t="s">
        <v>51</v>
      </c>
      <c r="C256" t="s">
        <v>52</v>
      </c>
      <c r="D256" t="str">
        <f>VLOOKUP(B256,Sheet2!A:D,3,FALSE)</f>
        <v>Equity</v>
      </c>
      <c r="E256" t="str">
        <f>VLOOKUP(B256,Sheet2!A:D,4,FALSE)</f>
        <v>Thematic</v>
      </c>
      <c r="F256" s="3">
        <v>2.7000000000000001E-3</v>
      </c>
    </row>
    <row r="257" spans="1:6" x14ac:dyDescent="0.3">
      <c r="A257" t="s">
        <v>88</v>
      </c>
      <c r="B257" t="s">
        <v>59</v>
      </c>
      <c r="C257" t="s">
        <v>60</v>
      </c>
      <c r="D257" t="str">
        <f>VLOOKUP(B257,Sheet2!A:D,3,FALSE)</f>
        <v>Equity</v>
      </c>
      <c r="E257" t="str">
        <f>VLOOKUP(B257,Sheet2!A:D,4,FALSE)</f>
        <v>Emerging Markets</v>
      </c>
      <c r="F257" s="3">
        <v>1.6000000000000001E-3</v>
      </c>
    </row>
    <row r="258" spans="1:6" x14ac:dyDescent="0.3">
      <c r="A258" t="s">
        <v>88</v>
      </c>
      <c r="B258" t="s">
        <v>55</v>
      </c>
      <c r="C258" t="s">
        <v>56</v>
      </c>
      <c r="D258" t="str">
        <f>VLOOKUP(B258,Sheet2!A:D,3,FALSE)</f>
        <v>Equity</v>
      </c>
      <c r="E258" t="str">
        <f>VLOOKUP(B258,Sheet2!A:D,4,FALSE)</f>
        <v>Asia ex Japan</v>
      </c>
      <c r="F258" s="3">
        <v>1.1999999999999999E-3</v>
      </c>
    </row>
    <row r="259" spans="1:6" x14ac:dyDescent="0.3">
      <c r="A259" t="s">
        <v>89</v>
      </c>
      <c r="B259" t="s">
        <v>3</v>
      </c>
      <c r="C259" t="s">
        <v>4</v>
      </c>
      <c r="D259" t="str">
        <f>VLOOKUP(B259,Sheet2!A:D,3,FALSE)</f>
        <v>Equity</v>
      </c>
      <c r="E259" t="str">
        <f>VLOOKUP(B259,Sheet2!A:D,4,FALSE)</f>
        <v>US</v>
      </c>
      <c r="F259" s="3">
        <v>0.124</v>
      </c>
    </row>
    <row r="260" spans="1:6" x14ac:dyDescent="0.3">
      <c r="A260" t="s">
        <v>89</v>
      </c>
      <c r="B260" t="s">
        <v>5</v>
      </c>
      <c r="C260" t="s">
        <v>6</v>
      </c>
      <c r="D260" t="str">
        <f>VLOOKUP(B260,Sheet2!A:D,3,FALSE)</f>
        <v>Equity</v>
      </c>
      <c r="E260" t="str">
        <f>VLOOKUP(B260,Sheet2!A:D,4,FALSE)</f>
        <v>US</v>
      </c>
      <c r="F260" s="3">
        <v>0.124</v>
      </c>
    </row>
    <row r="261" spans="1:6" x14ac:dyDescent="0.3">
      <c r="A261" t="s">
        <v>89</v>
      </c>
      <c r="B261" t="s">
        <v>11</v>
      </c>
      <c r="C261" t="s">
        <v>12</v>
      </c>
      <c r="D261" t="str">
        <f>VLOOKUP(B261,Sheet2!A:D,3,FALSE)</f>
        <v>Equity</v>
      </c>
      <c r="E261" t="str">
        <f>VLOOKUP(B261,Sheet2!A:D,4,FALSE)</f>
        <v>Global</v>
      </c>
      <c r="F261" s="3">
        <v>7.5700000000000003E-2</v>
      </c>
    </row>
    <row r="262" spans="1:6" x14ac:dyDescent="0.3">
      <c r="A262" t="s">
        <v>89</v>
      </c>
      <c r="B262" t="s">
        <v>9</v>
      </c>
      <c r="C262" t="s">
        <v>10</v>
      </c>
      <c r="D262" t="str">
        <f>VLOOKUP(B262,Sheet2!A:D,3,FALSE)</f>
        <v>Equity</v>
      </c>
      <c r="E262" t="str">
        <f>VLOOKUP(B262,Sheet2!A:D,4,FALSE)</f>
        <v>Europe ex UK</v>
      </c>
      <c r="F262" s="3">
        <v>7.0400000000000004E-2</v>
      </c>
    </row>
    <row r="263" spans="1:6" x14ac:dyDescent="0.3">
      <c r="A263" t="s">
        <v>89</v>
      </c>
      <c r="B263" t="s">
        <v>7</v>
      </c>
      <c r="C263" t="s">
        <v>8</v>
      </c>
      <c r="D263" t="str">
        <f>VLOOKUP(B263,Sheet2!A:D,3,FALSE)</f>
        <v>Equity</v>
      </c>
      <c r="E263" t="str">
        <f>VLOOKUP(B263,Sheet2!A:D,4,FALSE)</f>
        <v>Japan</v>
      </c>
      <c r="F263" s="3">
        <v>6.7799999999999999E-2</v>
      </c>
    </row>
    <row r="264" spans="1:6" x14ac:dyDescent="0.3">
      <c r="A264" t="s">
        <v>89</v>
      </c>
      <c r="B264" t="s">
        <v>13</v>
      </c>
      <c r="C264" t="s">
        <v>14</v>
      </c>
      <c r="D264" t="str">
        <f>VLOOKUP(B264,Sheet2!A:D,3,FALSE)</f>
        <v>Equity</v>
      </c>
      <c r="E264" t="str">
        <f>VLOOKUP(B264,Sheet2!A:D,4,FALSE)</f>
        <v>Europe ex UK</v>
      </c>
      <c r="F264" s="3">
        <v>5.28E-2</v>
      </c>
    </row>
    <row r="265" spans="1:6" x14ac:dyDescent="0.3">
      <c r="A265" t="s">
        <v>89</v>
      </c>
      <c r="B265" t="s">
        <v>15</v>
      </c>
      <c r="C265" t="s">
        <v>16</v>
      </c>
      <c r="D265" t="str">
        <f>VLOOKUP(B265,Sheet2!A:D,3,FALSE)</f>
        <v>Equity</v>
      </c>
      <c r="E265" t="str">
        <f>VLOOKUP(B265,Sheet2!A:D,4,FALSE)</f>
        <v>Europe ex UK</v>
      </c>
      <c r="F265" s="3">
        <v>5.28E-2</v>
      </c>
    </row>
    <row r="266" spans="1:6" x14ac:dyDescent="0.3">
      <c r="A266" t="s">
        <v>89</v>
      </c>
      <c r="B266" t="s">
        <v>23</v>
      </c>
      <c r="C266" t="s">
        <v>24</v>
      </c>
      <c r="D266" t="str">
        <f>VLOOKUP(B266,Sheet2!A:D,3,FALSE)</f>
        <v>Equity</v>
      </c>
      <c r="E266" t="str">
        <f>VLOOKUP(B266,Sheet2!A:D,4,FALSE)</f>
        <v>Asia ex Japan</v>
      </c>
      <c r="F266" s="3">
        <v>5.2699999999999997E-2</v>
      </c>
    </row>
    <row r="267" spans="1:6" x14ac:dyDescent="0.3">
      <c r="A267" t="s">
        <v>89</v>
      </c>
      <c r="B267" t="s">
        <v>29</v>
      </c>
      <c r="C267" t="s">
        <v>30</v>
      </c>
      <c r="D267" t="str">
        <f>VLOOKUP(B267,Sheet2!A:D,3,FALSE)</f>
        <v>Equity</v>
      </c>
      <c r="E267" t="str">
        <f>VLOOKUP(B267,Sheet2!A:D,4,FALSE)</f>
        <v>Asia ex Japan</v>
      </c>
      <c r="F267" s="3">
        <v>4.9299999999999997E-2</v>
      </c>
    </row>
    <row r="268" spans="1:6" x14ac:dyDescent="0.3">
      <c r="A268" t="s">
        <v>89</v>
      </c>
      <c r="B268" t="s">
        <v>25</v>
      </c>
      <c r="C268" t="s">
        <v>26</v>
      </c>
      <c r="D268" t="str">
        <f>VLOOKUP(B268,Sheet2!A:D,3,FALSE)</f>
        <v>Equity</v>
      </c>
      <c r="E268" t="str">
        <f>VLOOKUP(B268,Sheet2!A:D,4,FALSE)</f>
        <v>US</v>
      </c>
      <c r="F268" s="3">
        <v>4.5400000000000003E-2</v>
      </c>
    </row>
    <row r="269" spans="1:6" x14ac:dyDescent="0.3">
      <c r="A269" t="s">
        <v>89</v>
      </c>
      <c r="B269" t="s">
        <v>27</v>
      </c>
      <c r="C269" t="s">
        <v>28</v>
      </c>
      <c r="D269" t="str">
        <f>VLOOKUP(B269,Sheet2!A:D,3,FALSE)</f>
        <v>Equity</v>
      </c>
      <c r="E269" t="str">
        <f>VLOOKUP(B269,Sheet2!A:D,4,FALSE)</f>
        <v>US</v>
      </c>
      <c r="F269" s="3">
        <v>4.3499999999999997E-2</v>
      </c>
    </row>
    <row r="270" spans="1:6" x14ac:dyDescent="0.3">
      <c r="A270" t="s">
        <v>89</v>
      </c>
      <c r="B270" t="s">
        <v>31</v>
      </c>
      <c r="C270" t="s">
        <v>32</v>
      </c>
      <c r="D270" t="str">
        <f>VLOOKUP(B270,Sheet2!A:D,3,FALSE)</f>
        <v>Equity</v>
      </c>
      <c r="E270" t="str">
        <f>VLOOKUP(B270,Sheet2!A:D,4,FALSE)</f>
        <v>US</v>
      </c>
      <c r="F270" s="3">
        <v>4.1599999999999998E-2</v>
      </c>
    </row>
    <row r="271" spans="1:6" x14ac:dyDescent="0.3">
      <c r="A271" s="4" t="s">
        <v>89</v>
      </c>
      <c r="B271" s="4" t="s">
        <v>35</v>
      </c>
      <c r="C271" s="4" t="s">
        <v>36</v>
      </c>
      <c r="D271" t="str">
        <f>VLOOKUP(B271,Sheet2!A:D,3,FALSE)</f>
        <v>Equity</v>
      </c>
      <c r="E271" t="str">
        <f>VLOOKUP(B271,Sheet2!A:D,4,FALSE)</f>
        <v>Emerging Markets</v>
      </c>
      <c r="F271" s="5">
        <v>3.0099999999999998E-2</v>
      </c>
    </row>
    <row r="272" spans="1:6" x14ac:dyDescent="0.3">
      <c r="A272" s="4" t="s">
        <v>89</v>
      </c>
      <c r="B272" s="4" t="s">
        <v>41</v>
      </c>
      <c r="C272" s="4" t="s">
        <v>42</v>
      </c>
      <c r="D272" t="str">
        <f>VLOOKUP(B272,Sheet2!A:D,3,FALSE)</f>
        <v>Equity</v>
      </c>
      <c r="E272" t="str">
        <f>VLOOKUP(B272,Sheet2!A:D,4,FALSE)</f>
        <v>Emerging Markets</v>
      </c>
      <c r="F272" s="5">
        <v>2.6800000000000001E-2</v>
      </c>
    </row>
    <row r="273" spans="1:6" x14ac:dyDescent="0.3">
      <c r="A273" t="s">
        <v>89</v>
      </c>
      <c r="B273" t="s">
        <v>47</v>
      </c>
      <c r="C273" t="s">
        <v>48</v>
      </c>
      <c r="D273" t="str">
        <f>VLOOKUP(B273,Sheet2!A:D,3,FALSE)</f>
        <v>Equity</v>
      </c>
      <c r="E273" t="str">
        <f>VLOOKUP(B273,Sheet2!A:D,4,FALSE)</f>
        <v>Emerging Markets</v>
      </c>
      <c r="F273" s="3">
        <v>1.8800000000000001E-2</v>
      </c>
    </row>
    <row r="274" spans="1:6" x14ac:dyDescent="0.3">
      <c r="A274" t="s">
        <v>89</v>
      </c>
      <c r="B274" t="s">
        <v>49</v>
      </c>
      <c r="C274" t="s">
        <v>50</v>
      </c>
      <c r="D274" t="str">
        <f>VLOOKUP(B274,Sheet2!A:D,3,FALSE)</f>
        <v>Equity</v>
      </c>
      <c r="E274" t="str">
        <f>VLOOKUP(B274,Sheet2!A:D,4,FALSE)</f>
        <v>Thematic</v>
      </c>
      <c r="F274" s="3">
        <v>1.7500000000000002E-2</v>
      </c>
    </row>
    <row r="275" spans="1:6" x14ac:dyDescent="0.3">
      <c r="A275" t="s">
        <v>89</v>
      </c>
      <c r="B275" t="s">
        <v>17</v>
      </c>
      <c r="C275" t="s">
        <v>18</v>
      </c>
      <c r="D275" t="str">
        <f>VLOOKUP(B275,Sheet2!A:D,3,FALSE)</f>
        <v>Equity</v>
      </c>
      <c r="E275" t="str">
        <f>VLOOKUP(B275,Sheet2!A:D,4,FALSE)</f>
        <v>UK</v>
      </c>
      <c r="F275" s="3">
        <v>1.72E-2</v>
      </c>
    </row>
    <row r="276" spans="1:6" x14ac:dyDescent="0.3">
      <c r="A276" t="s">
        <v>89</v>
      </c>
      <c r="B276" t="s">
        <v>33</v>
      </c>
      <c r="C276" t="s">
        <v>34</v>
      </c>
      <c r="D276" t="str">
        <f>VLOOKUP(B276,Sheet2!A:D,3,FALSE)</f>
        <v>Equity</v>
      </c>
      <c r="E276" t="str">
        <f>VLOOKUP(B276,Sheet2!A:D,4,FALSE)</f>
        <v>Thematic</v>
      </c>
      <c r="F276" s="3">
        <v>1.66E-2</v>
      </c>
    </row>
    <row r="277" spans="1:6" x14ac:dyDescent="0.3">
      <c r="A277" t="s">
        <v>89</v>
      </c>
      <c r="B277" t="s">
        <v>51</v>
      </c>
      <c r="C277" t="s">
        <v>52</v>
      </c>
      <c r="D277" t="str">
        <f>VLOOKUP(B277,Sheet2!A:D,3,FALSE)</f>
        <v>Equity</v>
      </c>
      <c r="E277" t="str">
        <f>VLOOKUP(B277,Sheet2!A:D,4,FALSE)</f>
        <v>Thematic</v>
      </c>
      <c r="F277" s="3">
        <v>1.54E-2</v>
      </c>
    </row>
    <row r="278" spans="1:6" x14ac:dyDescent="0.3">
      <c r="A278" t="s">
        <v>89</v>
      </c>
      <c r="B278" t="s">
        <v>19</v>
      </c>
      <c r="C278" t="s">
        <v>20</v>
      </c>
      <c r="D278" t="str">
        <f>VLOOKUP(B278,Sheet2!A:D,3,FALSE)</f>
        <v>Equity</v>
      </c>
      <c r="E278" t="str">
        <f>VLOOKUP(B278,Sheet2!A:D,4,FALSE)</f>
        <v>UK</v>
      </c>
      <c r="F278" s="3">
        <v>1.5299999999999999E-2</v>
      </c>
    </row>
    <row r="279" spans="1:6" x14ac:dyDescent="0.3">
      <c r="A279" t="s">
        <v>89</v>
      </c>
      <c r="B279" t="s">
        <v>21</v>
      </c>
      <c r="C279" t="s">
        <v>22</v>
      </c>
      <c r="D279" t="str">
        <f>VLOOKUP(B279,Sheet2!A:D,3,FALSE)</f>
        <v>Equity</v>
      </c>
      <c r="E279" t="str">
        <f>VLOOKUP(B279,Sheet2!A:D,4,FALSE)</f>
        <v>UK</v>
      </c>
      <c r="F279" s="3">
        <v>1.47E-2</v>
      </c>
    </row>
    <row r="280" spans="1:6" x14ac:dyDescent="0.3">
      <c r="A280" t="s">
        <v>89</v>
      </c>
      <c r="B280" t="s">
        <v>55</v>
      </c>
      <c r="C280" t="s">
        <v>56</v>
      </c>
      <c r="D280" t="str">
        <f>VLOOKUP(B280,Sheet2!A:D,3,FALSE)</f>
        <v>Equity</v>
      </c>
      <c r="E280" t="str">
        <f>VLOOKUP(B280,Sheet2!A:D,4,FALSE)</f>
        <v>Asia ex Japan</v>
      </c>
      <c r="F280" s="3">
        <v>1.1299999999999999E-2</v>
      </c>
    </row>
    <row r="281" spans="1:6" x14ac:dyDescent="0.3">
      <c r="A281" t="s">
        <v>89</v>
      </c>
      <c r="B281" t="s">
        <v>45</v>
      </c>
      <c r="C281" t="s">
        <v>46</v>
      </c>
      <c r="D281" t="str">
        <f>VLOOKUP(B281,Sheet2!A:D,3,FALSE)</f>
        <v>Equity</v>
      </c>
      <c r="E281" t="str">
        <f>VLOOKUP(B281,Sheet2!A:D,4,FALSE)</f>
        <v>UK</v>
      </c>
      <c r="F281" s="3">
        <v>8.3000000000000001E-3</v>
      </c>
    </row>
    <row r="282" spans="1:6" x14ac:dyDescent="0.3">
      <c r="A282" t="s">
        <v>89</v>
      </c>
      <c r="B282" t="s">
        <v>59</v>
      </c>
      <c r="C282" t="s">
        <v>60</v>
      </c>
      <c r="D282" t="str">
        <f>VLOOKUP(B282,Sheet2!A:D,3,FALSE)</f>
        <v>Equity</v>
      </c>
      <c r="E282" t="str">
        <f>VLOOKUP(B282,Sheet2!A:D,4,FALSE)</f>
        <v>Emerging Markets</v>
      </c>
      <c r="F282" s="3">
        <v>8.0000000000000002E-3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D4A7-7A4C-4B41-AD00-9D2A4088F488}">
  <dimension ref="A1:D41"/>
  <sheetViews>
    <sheetView workbookViewId="0">
      <selection activeCell="C1" sqref="C1:D1"/>
    </sheetView>
  </sheetViews>
  <sheetFormatPr defaultRowHeight="14.4" x14ac:dyDescent="0.3"/>
  <cols>
    <col min="1" max="1" width="16.5546875" customWidth="1"/>
    <col min="2" max="2" width="37.77734375" bestFit="1" customWidth="1"/>
    <col min="3" max="3" width="16.6640625" customWidth="1"/>
    <col min="4" max="4" width="34.88671875" customWidth="1"/>
  </cols>
  <sheetData>
    <row r="1" spans="1:4" x14ac:dyDescent="0.3">
      <c r="A1" t="s">
        <v>0</v>
      </c>
      <c r="B1" t="s">
        <v>108</v>
      </c>
      <c r="C1" t="s">
        <v>109</v>
      </c>
      <c r="D1" t="s">
        <v>110</v>
      </c>
    </row>
    <row r="2" spans="1:4" x14ac:dyDescent="0.3">
      <c r="A2" t="s">
        <v>37</v>
      </c>
      <c r="B2" t="s">
        <v>38</v>
      </c>
      <c r="C2" t="s">
        <v>90</v>
      </c>
      <c r="D2" t="s">
        <v>104</v>
      </c>
    </row>
    <row r="3" spans="1:4" x14ac:dyDescent="0.3">
      <c r="A3" t="s">
        <v>39</v>
      </c>
      <c r="B3" t="s">
        <v>40</v>
      </c>
      <c r="C3" t="s">
        <v>91</v>
      </c>
      <c r="D3" t="s">
        <v>91</v>
      </c>
    </row>
    <row r="4" spans="1:4" x14ac:dyDescent="0.3">
      <c r="A4" t="s">
        <v>43</v>
      </c>
      <c r="B4" t="s">
        <v>44</v>
      </c>
      <c r="C4" t="s">
        <v>91</v>
      </c>
      <c r="D4" t="s">
        <v>91</v>
      </c>
    </row>
    <row r="5" spans="1:4" x14ac:dyDescent="0.3">
      <c r="A5" t="s">
        <v>3</v>
      </c>
      <c r="B5" t="s">
        <v>4</v>
      </c>
      <c r="C5" t="s">
        <v>92</v>
      </c>
      <c r="D5" t="s">
        <v>94</v>
      </c>
    </row>
    <row r="6" spans="1:4" x14ac:dyDescent="0.3">
      <c r="A6" t="s">
        <v>5</v>
      </c>
      <c r="B6" t="s">
        <v>6</v>
      </c>
      <c r="C6" t="s">
        <v>92</v>
      </c>
      <c r="D6" t="s">
        <v>94</v>
      </c>
    </row>
    <row r="7" spans="1:4" x14ac:dyDescent="0.3">
      <c r="A7" t="s">
        <v>17</v>
      </c>
      <c r="B7" t="s">
        <v>18</v>
      </c>
      <c r="C7" t="s">
        <v>92</v>
      </c>
      <c r="D7" t="s">
        <v>95</v>
      </c>
    </row>
    <row r="8" spans="1:4" x14ac:dyDescent="0.3">
      <c r="A8" t="s">
        <v>7</v>
      </c>
      <c r="B8" t="s">
        <v>8</v>
      </c>
      <c r="C8" t="s">
        <v>92</v>
      </c>
      <c r="D8" t="s">
        <v>97</v>
      </c>
    </row>
    <row r="9" spans="1:4" x14ac:dyDescent="0.3">
      <c r="A9" t="s">
        <v>19</v>
      </c>
      <c r="B9" t="s">
        <v>20</v>
      </c>
      <c r="C9" t="s">
        <v>92</v>
      </c>
      <c r="D9" t="s">
        <v>95</v>
      </c>
    </row>
    <row r="10" spans="1:4" x14ac:dyDescent="0.3">
      <c r="A10" t="s">
        <v>21</v>
      </c>
      <c r="B10" t="s">
        <v>22</v>
      </c>
      <c r="C10" t="s">
        <v>92</v>
      </c>
      <c r="D10" t="s">
        <v>95</v>
      </c>
    </row>
    <row r="11" spans="1:4" x14ac:dyDescent="0.3">
      <c r="A11" t="s">
        <v>9</v>
      </c>
      <c r="B11" t="s">
        <v>10</v>
      </c>
      <c r="C11" t="s">
        <v>92</v>
      </c>
      <c r="D11" t="s">
        <v>98</v>
      </c>
    </row>
    <row r="12" spans="1:4" x14ac:dyDescent="0.3">
      <c r="A12" t="s">
        <v>63</v>
      </c>
      <c r="B12" t="s">
        <v>64</v>
      </c>
      <c r="C12" t="s">
        <v>90</v>
      </c>
      <c r="D12" t="s">
        <v>99</v>
      </c>
    </row>
    <row r="13" spans="1:4" x14ac:dyDescent="0.3">
      <c r="A13" t="s">
        <v>65</v>
      </c>
      <c r="B13" t="s">
        <v>66</v>
      </c>
      <c r="C13" t="s">
        <v>90</v>
      </c>
      <c r="D13" t="s">
        <v>100</v>
      </c>
    </row>
    <row r="14" spans="1:4" x14ac:dyDescent="0.3">
      <c r="A14" t="s">
        <v>11</v>
      </c>
      <c r="B14" t="s">
        <v>12</v>
      </c>
      <c r="C14" t="s">
        <v>92</v>
      </c>
      <c r="D14" t="s">
        <v>96</v>
      </c>
    </row>
    <row r="15" spans="1:4" x14ac:dyDescent="0.3">
      <c r="A15" t="s">
        <v>13</v>
      </c>
      <c r="B15" t="s">
        <v>14</v>
      </c>
      <c r="C15" t="s">
        <v>92</v>
      </c>
      <c r="D15" t="s">
        <v>98</v>
      </c>
    </row>
    <row r="16" spans="1:4" x14ac:dyDescent="0.3">
      <c r="A16" t="s">
        <v>15</v>
      </c>
      <c r="B16" t="s">
        <v>16</v>
      </c>
      <c r="C16" t="s">
        <v>92</v>
      </c>
      <c r="D16" t="s">
        <v>98</v>
      </c>
    </row>
    <row r="17" spans="1:4" x14ac:dyDescent="0.3">
      <c r="A17" t="s">
        <v>33</v>
      </c>
      <c r="B17" t="s">
        <v>34</v>
      </c>
      <c r="C17" t="s">
        <v>92</v>
      </c>
      <c r="D17" t="s">
        <v>102</v>
      </c>
    </row>
    <row r="18" spans="1:4" x14ac:dyDescent="0.3">
      <c r="A18" t="s">
        <v>53</v>
      </c>
      <c r="B18" t="s">
        <v>54</v>
      </c>
      <c r="C18" t="s">
        <v>91</v>
      </c>
      <c r="D18" t="s">
        <v>91</v>
      </c>
    </row>
    <row r="19" spans="1:4" x14ac:dyDescent="0.3">
      <c r="A19" t="s">
        <v>67</v>
      </c>
      <c r="B19" t="s">
        <v>68</v>
      </c>
      <c r="C19" t="s">
        <v>90</v>
      </c>
      <c r="D19" t="s">
        <v>107</v>
      </c>
    </row>
    <row r="20" spans="1:4" x14ac:dyDescent="0.3">
      <c r="A20" t="s">
        <v>45</v>
      </c>
      <c r="B20" t="s">
        <v>46</v>
      </c>
      <c r="C20" t="s">
        <v>92</v>
      </c>
      <c r="D20" t="s">
        <v>95</v>
      </c>
    </row>
    <row r="21" spans="1:4" x14ac:dyDescent="0.3">
      <c r="A21" t="s">
        <v>57</v>
      </c>
      <c r="B21" t="s">
        <v>58</v>
      </c>
      <c r="C21" t="s">
        <v>91</v>
      </c>
      <c r="D21" t="s">
        <v>91</v>
      </c>
    </row>
    <row r="22" spans="1:4" x14ac:dyDescent="0.3">
      <c r="A22" t="s">
        <v>69</v>
      </c>
      <c r="B22" t="s">
        <v>70</v>
      </c>
      <c r="C22" t="s">
        <v>90</v>
      </c>
      <c r="D22" t="s">
        <v>104</v>
      </c>
    </row>
    <row r="23" spans="1:4" x14ac:dyDescent="0.3">
      <c r="A23" t="s">
        <v>25</v>
      </c>
      <c r="B23" t="s">
        <v>26</v>
      </c>
      <c r="C23" t="s">
        <v>92</v>
      </c>
      <c r="D23" t="s">
        <v>94</v>
      </c>
    </row>
    <row r="24" spans="1:4" x14ac:dyDescent="0.3">
      <c r="A24" t="s">
        <v>27</v>
      </c>
      <c r="B24" t="s">
        <v>28</v>
      </c>
      <c r="C24" t="s">
        <v>92</v>
      </c>
      <c r="D24" t="s">
        <v>94</v>
      </c>
    </row>
    <row r="25" spans="1:4" x14ac:dyDescent="0.3">
      <c r="A25" t="s">
        <v>31</v>
      </c>
      <c r="B25" t="s">
        <v>32</v>
      </c>
      <c r="C25" t="s">
        <v>92</v>
      </c>
      <c r="D25" t="s">
        <v>94</v>
      </c>
    </row>
    <row r="26" spans="1:4" x14ac:dyDescent="0.3">
      <c r="A26" t="s">
        <v>71</v>
      </c>
      <c r="B26" t="s">
        <v>72</v>
      </c>
      <c r="C26" t="s">
        <v>90</v>
      </c>
      <c r="D26" t="s">
        <v>104</v>
      </c>
    </row>
    <row r="27" spans="1:4" x14ac:dyDescent="0.3">
      <c r="A27" t="s">
        <v>35</v>
      </c>
      <c r="B27" t="s">
        <v>36</v>
      </c>
      <c r="C27" t="s">
        <v>92</v>
      </c>
      <c r="D27" t="s">
        <v>105</v>
      </c>
    </row>
    <row r="28" spans="1:4" x14ac:dyDescent="0.3">
      <c r="A28" t="s">
        <v>23</v>
      </c>
      <c r="B28" t="s">
        <v>24</v>
      </c>
      <c r="C28" t="s">
        <v>92</v>
      </c>
      <c r="D28" t="s">
        <v>106</v>
      </c>
    </row>
    <row r="29" spans="1:4" x14ac:dyDescent="0.3">
      <c r="A29" t="s">
        <v>41</v>
      </c>
      <c r="B29" t="s">
        <v>42</v>
      </c>
      <c r="C29" t="s">
        <v>92</v>
      </c>
      <c r="D29" t="s">
        <v>105</v>
      </c>
    </row>
    <row r="30" spans="1:4" x14ac:dyDescent="0.3">
      <c r="A30" t="s">
        <v>29</v>
      </c>
      <c r="B30" t="s">
        <v>30</v>
      </c>
      <c r="C30" t="s">
        <v>92</v>
      </c>
      <c r="D30" t="s">
        <v>106</v>
      </c>
    </row>
    <row r="31" spans="1:4" x14ac:dyDescent="0.3">
      <c r="A31" t="s">
        <v>73</v>
      </c>
      <c r="B31" t="s">
        <v>74</v>
      </c>
      <c r="C31" t="s">
        <v>90</v>
      </c>
      <c r="D31" t="s">
        <v>104</v>
      </c>
    </row>
    <row r="32" spans="1:4" x14ac:dyDescent="0.3">
      <c r="A32" t="s">
        <v>77</v>
      </c>
      <c r="B32" t="s">
        <v>78</v>
      </c>
      <c r="C32" t="s">
        <v>90</v>
      </c>
      <c r="D32" t="s">
        <v>103</v>
      </c>
    </row>
    <row r="33" spans="1:4" x14ac:dyDescent="0.3">
      <c r="A33" t="s">
        <v>75</v>
      </c>
      <c r="B33" t="s">
        <v>76</v>
      </c>
      <c r="C33" t="s">
        <v>90</v>
      </c>
      <c r="D33" t="s">
        <v>103</v>
      </c>
    </row>
    <row r="34" spans="1:4" x14ac:dyDescent="0.3">
      <c r="A34" t="s">
        <v>47</v>
      </c>
      <c r="B34" t="s">
        <v>48</v>
      </c>
      <c r="C34" t="s">
        <v>92</v>
      </c>
      <c r="D34" t="s">
        <v>105</v>
      </c>
    </row>
    <row r="35" spans="1:4" x14ac:dyDescent="0.3">
      <c r="A35" t="s">
        <v>79</v>
      </c>
      <c r="B35" t="s">
        <v>80</v>
      </c>
      <c r="C35" t="s">
        <v>90</v>
      </c>
      <c r="D35" t="s">
        <v>101</v>
      </c>
    </row>
    <row r="36" spans="1:4" x14ac:dyDescent="0.3">
      <c r="A36" t="s">
        <v>49</v>
      </c>
      <c r="B36" t="s">
        <v>50</v>
      </c>
      <c r="C36" t="s">
        <v>92</v>
      </c>
      <c r="D36" t="s">
        <v>102</v>
      </c>
    </row>
    <row r="37" spans="1:4" x14ac:dyDescent="0.3">
      <c r="A37" t="s">
        <v>51</v>
      </c>
      <c r="B37" t="s">
        <v>52</v>
      </c>
      <c r="C37" t="s">
        <v>92</v>
      </c>
      <c r="D37" t="s">
        <v>102</v>
      </c>
    </row>
    <row r="38" spans="1:4" x14ac:dyDescent="0.3">
      <c r="A38" t="s">
        <v>81</v>
      </c>
      <c r="B38" t="s">
        <v>82</v>
      </c>
      <c r="C38" t="s">
        <v>90</v>
      </c>
      <c r="D38" t="s">
        <v>100</v>
      </c>
    </row>
    <row r="39" spans="1:4" x14ac:dyDescent="0.3">
      <c r="A39" t="s">
        <v>59</v>
      </c>
      <c r="B39" t="s">
        <v>60</v>
      </c>
      <c r="C39" t="s">
        <v>92</v>
      </c>
      <c r="D39" t="s">
        <v>105</v>
      </c>
    </row>
    <row r="40" spans="1:4" x14ac:dyDescent="0.3">
      <c r="A40" t="s">
        <v>84</v>
      </c>
      <c r="B40" t="s">
        <v>85</v>
      </c>
      <c r="C40" t="s">
        <v>93</v>
      </c>
      <c r="D40" t="s">
        <v>93</v>
      </c>
    </row>
    <row r="41" spans="1:4" x14ac:dyDescent="0.3">
      <c r="A41" t="s">
        <v>55</v>
      </c>
      <c r="B41" t="s">
        <v>56</v>
      </c>
      <c r="C41" t="s">
        <v>92</v>
      </c>
      <c r="D4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Buckingham</dc:creator>
  <cp:lastModifiedBy>Sam Buckingham</cp:lastModifiedBy>
  <dcterms:created xsi:type="dcterms:W3CDTF">2026-01-16T16:24:33Z</dcterms:created>
  <dcterms:modified xsi:type="dcterms:W3CDTF">2026-01-18T17:36:50Z</dcterms:modified>
</cp:coreProperties>
</file>